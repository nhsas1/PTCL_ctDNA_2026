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ample Characteristics" sheetId="1" state="visible" r:id="rId3"/>
    <sheet name="BAM QC" sheetId="2" state="visible" r:id="rId4"/>
    <sheet name="ichorCNA+ Aneuploidy Score" sheetId="3" state="visible" r:id="rId5"/>
    <sheet name="RASCAL – All Batches" sheetId="4" state="visible" r:id="rId6"/>
    <sheet name="RASCAL – Constrained" sheetId="5" state="visible" r:id="rId7"/>
    <sheet name="GISTIC2 Results" sheetId="6" state="visible" r:id="rId8"/>
    <sheet name="Fragmentomic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<sst xmlns="http://schemas.openxmlformats.org/spreadsheetml/2006/main" count="1904" uniqueCount="535">
  <si>
    <t xml:space="preserve">Sample ID</t>
  </si>
  <si>
    <t xml:space="preserve">Patient ID</t>
  </si>
  <si>
    <t xml:space="preserve">Diagnosis</t>
  </si>
  <si>
    <t xml:space="preserve">Disease Status</t>
  </si>
  <si>
    <t xml:space="preserve">Gender</t>
  </si>
  <si>
    <t xml:space="preserve">ctDNA Library (original filename)</t>
  </si>
  <si>
    <t xml:space="preserve">ctDNA TF (1Mb)</t>
  </si>
  <si>
    <t xml:space="preserve">In Final CNA Cohort (n=20) T/ F</t>
  </si>
  <si>
    <t xml:space="preserve">Tissue Sample ID</t>
  </si>
  <si>
    <t xml:space="preserve">Tissue Library (FFPE filename)</t>
  </si>
  <si>
    <t xml:space="preserve">Tissue TF</t>
  </si>
  <si>
    <t xml:space="preserve">B1_S01</t>
  </si>
  <si>
    <t xml:space="preserve">MOL 4588</t>
  </si>
  <si>
    <t xml:space="preserve">AITL</t>
  </si>
  <si>
    <t xml:space="preserve">Relapse</t>
  </si>
  <si>
    <t xml:space="preserve">M</t>
  </si>
  <si>
    <t xml:space="preserve">LB20231211_1_EKDL240006162-1A_...</t>
  </si>
  <si>
    <t xml:space="preserve">T</t>
  </si>
  <si>
    <t xml:space="preserve">B1_S02</t>
  </si>
  <si>
    <t xml:space="preserve">BVA 4581</t>
  </si>
  <si>
    <t xml:space="preserve">F</t>
  </si>
  <si>
    <t xml:space="preserve">LB20231211_2_EKDL240006163-1A_...</t>
  </si>
  <si>
    <t xml:space="preserve">B1_S03</t>
  </si>
  <si>
    <t xml:space="preserve">DBR 4556</t>
  </si>
  <si>
    <t xml:space="preserve">LB20231211_3_EKDL240006164-1A_...</t>
  </si>
  <si>
    <t xml:space="preserve">F </t>
  </si>
  <si>
    <t xml:space="preserve">B1_S04</t>
  </si>
  <si>
    <t xml:space="preserve">HAA 4491</t>
  </si>
  <si>
    <t xml:space="preserve">PTCL-NOS</t>
  </si>
  <si>
    <t xml:space="preserve">LB20231211_4_EKDL240006165-1A_...</t>
  </si>
  <si>
    <t xml:space="preserve">B1_S05</t>
  </si>
  <si>
    <t xml:space="preserve">AVT-09-T5</t>
  </si>
  <si>
    <t xml:space="preserve">LB20231211_6_EKDL240006167-1A_...</t>
  </si>
  <si>
    <t xml:space="preserve">B2_S01</t>
  </si>
  <si>
    <t xml:space="preserve">PTCL001</t>
  </si>
  <si>
    <t xml:space="preserve">LB_20251209_PRE_1_EKDL250035517-1A_...</t>
  </si>
  <si>
    <t xml:space="preserve">B2_S01_FFPE</t>
  </si>
  <si>
    <t xml:space="preserve">LB_0203_P1_final.bam</t>
  </si>
  <si>
    <t xml:space="preserve">B2_S02</t>
  </si>
  <si>
    <t xml:space="preserve">PTCL006</t>
  </si>
  <si>
    <t xml:space="preserve">LB_20251209_PRE_2_EKDL250035518-1A_...</t>
  </si>
  <si>
    <t xml:space="preserve">B2_S02_FFPE</t>
  </si>
  <si>
    <t xml:space="preserve">LB_0203_P2_final.bam</t>
  </si>
  <si>
    <t xml:space="preserve">B2_S03</t>
  </si>
  <si>
    <t xml:space="preserve">PTCL029</t>
  </si>
  <si>
    <t xml:space="preserve">LB_20251209_PRE_3_EKDL250035519-1A_...</t>
  </si>
  <si>
    <t xml:space="preserve">B2_S03_FFPE</t>
  </si>
  <si>
    <t xml:space="preserve">LB_0903_8_final.bam</t>
  </si>
  <si>
    <t xml:space="preserve">B2_S04</t>
  </si>
  <si>
    <t xml:space="preserve">PTCL047</t>
  </si>
  <si>
    <t xml:space="preserve">ALK+ ALCL</t>
  </si>
  <si>
    <t xml:space="preserve">LB_20251209_PRE_4_EKDL250035520-1A_...</t>
  </si>
  <si>
    <t xml:space="preserve">B2_S04_FFPE</t>
  </si>
  <si>
    <t xml:space="preserve">LB_1603_P1_final.bam</t>
  </si>
  <si>
    <t xml:space="preserve">B2_S05</t>
  </si>
  <si>
    <t xml:space="preserve">PTCL059</t>
  </si>
  <si>
    <t xml:space="preserve">ALK- ALCL</t>
  </si>
  <si>
    <t xml:space="preserve">LB_20251209_PRE_5_EKDL250035521-1A_...</t>
  </si>
  <si>
    <t xml:space="preserve">B2_S05_FFPE</t>
  </si>
  <si>
    <t xml:space="preserve">LB_1603_P2_final.bam</t>
  </si>
  <si>
    <t xml:space="preserve">B2_S06</t>
  </si>
  <si>
    <t xml:space="preserve">PTCL077</t>
  </si>
  <si>
    <t xml:space="preserve">LB_20251209_PRE_6_EKDL250035522-1A_...</t>
  </si>
  <si>
    <t xml:space="preserve">B2_S06_FFPE</t>
  </si>
  <si>
    <t xml:space="preserve">LB_0203_P5_final.bam</t>
  </si>
  <si>
    <t xml:space="preserve">B2_S07</t>
  </si>
  <si>
    <t xml:space="preserve">PTCL111</t>
  </si>
  <si>
    <t xml:space="preserve">LB_20251209_PRE_7_EKDL250035523-1A_...</t>
  </si>
  <si>
    <t xml:space="preserve">B2_S07_FFPE</t>
  </si>
  <si>
    <t xml:space="preserve">LB_0203_P6_final.bam</t>
  </si>
  <si>
    <t xml:space="preserve">B2_S08</t>
  </si>
  <si>
    <t xml:space="preserve">PTCL020</t>
  </si>
  <si>
    <t xml:space="preserve">LB_20251209_PRE_8_EKDL250035524-1A_...</t>
  </si>
  <si>
    <t xml:space="preserve">B2_S08_FFPE</t>
  </si>
  <si>
    <t xml:space="preserve">LB_0203_P7_final.bam</t>
  </si>
  <si>
    <t xml:space="preserve">B2_S09</t>
  </si>
  <si>
    <t xml:space="preserve">PTCL002</t>
  </si>
  <si>
    <t xml:space="preserve">LB_20251210_PRE_1_EKDL250035525-1A_...</t>
  </si>
  <si>
    <t xml:space="preserve">B2_S09_FFPE</t>
  </si>
  <si>
    <t xml:space="preserve">LB_1603_P3_final.bam</t>
  </si>
  <si>
    <t xml:space="preserve">B2_S10</t>
  </si>
  <si>
    <t xml:space="preserve">PTCL005</t>
  </si>
  <si>
    <t xml:space="preserve">LB_20251210_PRE_2_EKDL250035526-1A_...</t>
  </si>
  <si>
    <t xml:space="preserve">B2_S10_FFPE</t>
  </si>
  <si>
    <t xml:space="preserve">LB_0903_1_final.bam</t>
  </si>
  <si>
    <t xml:space="preserve">B2_S11</t>
  </si>
  <si>
    <t xml:space="preserve">PTCL013</t>
  </si>
  <si>
    <t xml:space="preserve">LB_20251210_PRE_3_EKDL250035527-1A_...</t>
  </si>
  <si>
    <t xml:space="preserve">B2_S11_FFPE</t>
  </si>
  <si>
    <t xml:space="preserve">LB_0903_2_final.bam</t>
  </si>
  <si>
    <t xml:space="preserve">B2_S12</t>
  </si>
  <si>
    <t xml:space="preserve">PTCL018</t>
  </si>
  <si>
    <t xml:space="preserve">LB_20251210_PRE_4_EKDL250035528-1A_...</t>
  </si>
  <si>
    <t xml:space="preserve">B2_S12_FFPE</t>
  </si>
  <si>
    <t xml:space="preserve">LB_0903_3_final.bam</t>
  </si>
  <si>
    <t xml:space="preserve">B2_S13</t>
  </si>
  <si>
    <t xml:space="preserve">PTCL028</t>
  </si>
  <si>
    <t xml:space="preserve">LB_20251210_PRE_5_EKDL250035529-1A_...</t>
  </si>
  <si>
    <t xml:space="preserve">B2_S13_FFPE</t>
  </si>
  <si>
    <t xml:space="preserve">LB_0903_4_final.bam</t>
  </si>
  <si>
    <t xml:space="preserve">B2_S14</t>
  </si>
  <si>
    <t xml:space="preserve">PTCL048</t>
  </si>
  <si>
    <t xml:space="preserve">LB_20251210_PRE_6_EKDL250035530-1A_...</t>
  </si>
  <si>
    <t xml:space="preserve">B2_S14_FFPE</t>
  </si>
  <si>
    <t xml:space="preserve">LB_0903_5_final.bam</t>
  </si>
  <si>
    <t xml:space="preserve">B2_S15</t>
  </si>
  <si>
    <t xml:space="preserve">PTCL061</t>
  </si>
  <si>
    <t xml:space="preserve">LB_20251210_PRE_7_EKDL250035531-1A_...</t>
  </si>
  <si>
    <t xml:space="preserve">B2_S15_FFPE</t>
  </si>
  <si>
    <t xml:space="preserve">LB_0903_6_final.bam</t>
  </si>
  <si>
    <t xml:space="preserve">B2_S16</t>
  </si>
  <si>
    <t xml:space="preserve">PTCL067</t>
  </si>
  <si>
    <t xml:space="preserve">LB_20251210_PRE_8_EKDL250035532-1A_...</t>
  </si>
  <si>
    <t xml:space="preserve">B2_S16_FFPE</t>
  </si>
  <si>
    <t xml:space="preserve">LB_0903_7_final.bam</t>
  </si>
  <si>
    <t xml:space="preserve">B3_S01</t>
  </si>
  <si>
    <t xml:space="preserve">4535 NSL</t>
  </si>
  <si>
    <t xml:space="preserve">LB_20241212_1_SI.bam</t>
  </si>
  <si>
    <t xml:space="preserve">B3_S02</t>
  </si>
  <si>
    <t xml:space="preserve">3650 GRK</t>
  </si>
  <si>
    <t xml:space="preserve">LB_20241212_2_SI.bam</t>
  </si>
  <si>
    <t xml:space="preserve">B3_S03</t>
  </si>
  <si>
    <t xml:space="preserve">4572 FCA</t>
  </si>
  <si>
    <t xml:space="preserve">LB_20241212_3_SI.bam</t>
  </si>
  <si>
    <t xml:space="preserve">B3_S04</t>
  </si>
  <si>
    <t xml:space="preserve">4631 HDI</t>
  </si>
  <si>
    <t xml:space="preserve">TFH-PTCL</t>
  </si>
  <si>
    <t xml:space="preserve">LB_20241212_4_SI.bam</t>
  </si>
  <si>
    <t xml:space="preserve">B3_S05</t>
  </si>
  <si>
    <t xml:space="preserve">4621 MOL</t>
  </si>
  <si>
    <t xml:space="preserve">LB_20241212_6_SI.bam</t>
  </si>
  <si>
    <t xml:space="preserve">B3_S06</t>
  </si>
  <si>
    <t xml:space="preserve">4658 MMS</t>
  </si>
  <si>
    <t xml:space="preserve">LB_241114_1_SI.bam</t>
  </si>
  <si>
    <t xml:space="preserve">B3_S07</t>
  </si>
  <si>
    <t xml:space="preserve">4657 MGL</t>
  </si>
  <si>
    <t xml:space="preserve">LB_241114_2_SI.bam</t>
  </si>
  <si>
    <t xml:space="preserve">B3_S08</t>
  </si>
  <si>
    <t xml:space="preserve">4583 HJI</t>
  </si>
  <si>
    <t xml:space="preserve">LB_241114_3_SI.bam</t>
  </si>
  <si>
    <t xml:space="preserve">B3_S09</t>
  </si>
  <si>
    <t xml:space="preserve">4408 RDV</t>
  </si>
  <si>
    <t xml:space="preserve">ATLL</t>
  </si>
  <si>
    <t xml:space="preserve">LB_241114_4_SI.bam</t>
  </si>
  <si>
    <t xml:space="preserve">B3_S10</t>
  </si>
  <si>
    <t xml:space="preserve">4554 HSA</t>
  </si>
  <si>
    <t xml:space="preserve">LB_241114_5_SI.bam</t>
  </si>
  <si>
    <t xml:space="preserve">B3_S11</t>
  </si>
  <si>
    <t xml:space="preserve">4025 SEE</t>
  </si>
  <si>
    <t xml:space="preserve">LB_241114_6_SI.bam</t>
  </si>
  <si>
    <t xml:space="preserve">B3_S12</t>
  </si>
  <si>
    <t xml:space="preserve">4332 VKA</t>
  </si>
  <si>
    <t xml:space="preserve">LB_241114_7_SI.bam</t>
  </si>
  <si>
    <t xml:space="preserve">B3_S13</t>
  </si>
  <si>
    <t xml:space="preserve">4649 KKB</t>
  </si>
  <si>
    <t xml:space="preserve">LB_241114_8_SI.bam</t>
  </si>
  <si>
    <t xml:space="preserve">Specimen Type</t>
  </si>
  <si>
    <t xml:space="preserve">Total Reads</t>
  </si>
  <si>
    <t xml:space="preserve">Mapped Reads</t>
  </si>
  <si>
    <t xml:space="preserve">Mapping %</t>
  </si>
  <si>
    <t xml:space="preserve">Dup Reads</t>
  </si>
  <si>
    <t xml:space="preserve">Dup %</t>
  </si>
  <si>
    <t xml:space="preserve">Properly Paired %</t>
  </si>
  <si>
    <t xml:space="preserve">Read Length</t>
  </si>
  <si>
    <t xml:space="preserve">Insert Size Mean (bp)</t>
  </si>
  <si>
    <t xml:space="preserve">Insert Size SD (bp)</t>
  </si>
  <si>
    <t xml:space="preserve">Mean Depth</t>
  </si>
  <si>
    <t xml:space="preserve">Dup Tool</t>
  </si>
  <si>
    <t xml:space="preserve">Dup Status</t>
  </si>
  <si>
    <t xml:space="preserve">chrX Depth</t>
  </si>
  <si>
    <t xml:space="preserve">chrY Depth</t>
  </si>
  <si>
    <t xml:space="preserve">Sex (inferred, coverage)</t>
  </si>
  <si>
    <t xml:space="preserve">Sex (confirmed)</t>
  </si>
  <si>
    <t xml:space="preserve">Notes / QC Flags</t>
  </si>
  <si>
    <t xml:space="preserve">Plasma</t>
  </si>
  <si>
    <t xml:space="preserve">99.89%</t>
  </si>
  <si>
    <t xml:space="preserve">12.51%</t>
  </si>
  <si>
    <t xml:space="preserve">150bp</t>
  </si>
  <si>
    <t xml:space="preserve">1.162×</t>
  </si>
  <si>
    <t xml:space="preserve">Picard MD v2.18.23</t>
  </si>
  <si>
    <t xml:space="preserve">Marked only</t>
  </si>
  <si>
    <t xml:space="preserve">0.599</t>
  </si>
  <si>
    <t xml:space="preserve">0.480</t>
  </si>
  <si>
    <t xml:space="preserve">Male</t>
  </si>
  <si>
    <t xml:space="preserve">12.57%</t>
  </si>
  <si>
    <t xml:space="preserve">1.224×</t>
  </si>
  <si>
    <t xml:space="preserve">1.232</t>
  </si>
  <si>
    <t xml:space="preserve">0.077</t>
  </si>
  <si>
    <t xml:space="preserve">Female</t>
  </si>
  <si>
    <t xml:space="preserve">99.90%</t>
  </si>
  <si>
    <t xml:space="preserve">12.66%</t>
  </si>
  <si>
    <t xml:space="preserve">1.338×</t>
  </si>
  <si>
    <t xml:space="preserve">1.338</t>
  </si>
  <si>
    <t xml:space="preserve">0.085</t>
  </si>
  <si>
    <t xml:space="preserve">10.70%</t>
  </si>
  <si>
    <t xml:space="preserve">1.145×</t>
  </si>
  <si>
    <t xml:space="preserve">1.109</t>
  </si>
  <si>
    <t xml:space="preserve">0.066</t>
  </si>
  <si>
    <t xml:space="preserve">99.86%</t>
  </si>
  <si>
    <t xml:space="preserve">11.76%</t>
  </si>
  <si>
    <t xml:space="preserve">1.094×</t>
  </si>
  <si>
    <t xml:space="preserve">0.570</t>
  </si>
  <si>
    <t xml:space="preserve">0.501</t>
  </si>
  <si>
    <t xml:space="preserve">99.95%</t>
  </si>
  <si>
    <t xml:space="preserve">10.44%</t>
  </si>
  <si>
    <t xml:space="preserve">0.934×</t>
  </si>
  <si>
    <t xml:space="preserve">0.910</t>
  </si>
  <si>
    <t xml:space="preserve">0.065</t>
  </si>
  <si>
    <t xml:space="preserve">SEX MISMATCH: inferred Male, confirmed Female. RG tag absent</t>
  </si>
  <si>
    <t xml:space="preserve">99.93%</t>
  </si>
  <si>
    <t xml:space="preserve">10.33%</t>
  </si>
  <si>
    <t xml:space="preserve">0.846×</t>
  </si>
  <si>
    <t xml:space="preserve">0.445</t>
  </si>
  <si>
    <t xml:space="preserve">0.392</t>
  </si>
  <si>
    <t xml:space="preserve">RG tag absent</t>
  </si>
  <si>
    <t xml:space="preserve">99.94%</t>
  </si>
  <si>
    <t xml:space="preserve">10.77%</t>
  </si>
  <si>
    <t xml:space="preserve">0.801×</t>
  </si>
  <si>
    <t xml:space="preserve">0.794</t>
  </si>
  <si>
    <t xml:space="preserve">0.050</t>
  </si>
  <si>
    <t xml:space="preserve">10.48%</t>
  </si>
  <si>
    <t xml:space="preserve">0.845×</t>
  </si>
  <si>
    <t xml:space="preserve">0.484</t>
  </si>
  <si>
    <t xml:space="preserve">0.329</t>
  </si>
  <si>
    <t xml:space="preserve">RG tag absent; low chr3 &amp; chr15 depth</t>
  </si>
  <si>
    <t xml:space="preserve">10.14%</t>
  </si>
  <si>
    <t xml:space="preserve">0.901×</t>
  </si>
  <si>
    <t xml:space="preserve">0.686</t>
  </si>
  <si>
    <t xml:space="preserve">0.052</t>
  </si>
  <si>
    <t xml:space="preserve">8.74%</t>
  </si>
  <si>
    <t xml:space="preserve">0.875×</t>
  </si>
  <si>
    <t xml:space="preserve">0.875</t>
  </si>
  <si>
    <t xml:space="preserve">0.055</t>
  </si>
  <si>
    <t xml:space="preserve">10.63%</t>
  </si>
  <si>
    <t xml:space="preserve">0.943×</t>
  </si>
  <si>
    <t xml:space="preserve">0.486</t>
  </si>
  <si>
    <t xml:space="preserve">0.418</t>
  </si>
  <si>
    <t xml:space="preserve">9.96%</t>
  </si>
  <si>
    <t xml:space="preserve">0.927×</t>
  </si>
  <si>
    <t xml:space="preserve">0.828</t>
  </si>
  <si>
    <t xml:space="preserve">0.058</t>
  </si>
  <si>
    <t xml:space="preserve">99.92%</t>
  </si>
  <si>
    <t xml:space="preserve">10.25%</t>
  </si>
  <si>
    <t xml:space="preserve">0.841×</t>
  </si>
  <si>
    <t xml:space="preserve">0.841</t>
  </si>
  <si>
    <t xml:space="preserve">0.051</t>
  </si>
  <si>
    <t xml:space="preserve">8.92%</t>
  </si>
  <si>
    <t xml:space="preserve">0.825×</t>
  </si>
  <si>
    <t xml:space="preserve">0.431</t>
  </si>
  <si>
    <t xml:space="preserve">0.343</t>
  </si>
  <si>
    <t xml:space="preserve">15.25%</t>
  </si>
  <si>
    <t xml:space="preserve">0.778×</t>
  </si>
  <si>
    <t xml:space="preserve">0.421</t>
  </si>
  <si>
    <t xml:space="preserve">0.160</t>
  </si>
  <si>
    <t xml:space="preserve">SEX MISMATCH: inferred Female, confirmed Male. OUTLIER: highest dup rate (15.25%); lowest depth (0.778x) </t>
  </si>
  <si>
    <t xml:space="preserve">10.18%</t>
  </si>
  <si>
    <t xml:space="preserve">0.848×</t>
  </si>
  <si>
    <t xml:space="preserve">0.471</t>
  </si>
  <si>
    <t xml:space="preserve">0.279</t>
  </si>
  <si>
    <t xml:space="preserve">11.25%</t>
  </si>
  <si>
    <t xml:space="preserve">0.946×</t>
  </si>
  <si>
    <t xml:space="preserve">0.367</t>
  </si>
  <si>
    <t xml:space="preserve">11.64%</t>
  </si>
  <si>
    <t xml:space="preserve">0.786×</t>
  </si>
  <si>
    <t xml:space="preserve">0.792</t>
  </si>
  <si>
    <t xml:space="preserve">0.049</t>
  </si>
  <si>
    <t xml:space="preserve">12.71%</t>
  </si>
  <si>
    <t xml:space="preserve">0.983×</t>
  </si>
  <si>
    <t xml:space="preserve">1.081</t>
  </si>
  <si>
    <t xml:space="preserve">0.067</t>
  </si>
  <si>
    <t xml:space="preserve">11.26%</t>
  </si>
  <si>
    <t xml:space="preserve">0.450</t>
  </si>
  <si>
    <t xml:space="preserve">0.443</t>
  </si>
  <si>
    <t xml:space="preserve">0%</t>
  </si>
  <si>
    <t xml:space="preserve">1.084x</t>
  </si>
  <si>
    <t xml:space="preserve">Not run</t>
  </si>
  <si>
    <t xml:space="preserve">0.553</t>
  </si>
  <si>
    <t xml:space="preserve">0.428</t>
  </si>
  <si>
    <t xml:space="preserve">0.535</t>
  </si>
  <si>
    <t xml:space="preserve">0.448</t>
  </si>
  <si>
    <t xml:space="preserve">0.520</t>
  </si>
  <si>
    <t xml:space="preserve">0.522</t>
  </si>
  <si>
    <t xml:space="preserve">1.161</t>
  </si>
  <si>
    <t xml:space="preserve">0.076</t>
  </si>
  <si>
    <t xml:space="preserve">99.88%</t>
  </si>
  <si>
    <t xml:space="preserve">0.521</t>
  </si>
  <si>
    <t xml:space="preserve">0.427</t>
  </si>
  <si>
    <t xml:space="preserve">chr13/14/15/22 borderline low </t>
  </si>
  <si>
    <t xml:space="preserve">1.390x</t>
  </si>
  <si>
    <t xml:space="preserve">0.653</t>
  </si>
  <si>
    <t xml:space="preserve">0.510</t>
  </si>
  <si>
    <t xml:space="preserve">chr2 and chr5 elevated </t>
  </si>
  <si>
    <t xml:space="preserve">1.770x</t>
  </si>
  <si>
    <t xml:space="preserve">1.426</t>
  </si>
  <si>
    <t xml:space="preserve">0.309</t>
  </si>
  <si>
    <t xml:space="preserve">chr2 elevated</t>
  </si>
  <si>
    <t xml:space="preserve">1.590x</t>
  </si>
  <si>
    <t xml:space="preserve">1.049</t>
  </si>
  <si>
    <t xml:space="preserve">0.097</t>
  </si>
  <si>
    <t xml:space="preserve"> chr6/10/12 reduced chr18 elevated</t>
  </si>
  <si>
    <t xml:space="preserve">1.540x</t>
  </si>
  <si>
    <t xml:space="preserve">0.971</t>
  </si>
  <si>
    <t xml:space="preserve">0.089</t>
  </si>
  <si>
    <t xml:space="preserve"> chr18 strongly elevated +49% above mean</t>
  </si>
  <si>
    <t xml:space="preserve">1.430x</t>
  </si>
  <si>
    <t xml:space="preserve">0.709</t>
  </si>
  <si>
    <t xml:space="preserve">0.224</t>
  </si>
  <si>
    <t xml:space="preserve">chr2 mild elevation</t>
  </si>
  <si>
    <t xml:space="preserve">99.91%</t>
  </si>
  <si>
    <t xml:space="preserve">1.680x</t>
  </si>
  <si>
    <t xml:space="preserve">0.786</t>
  </si>
  <si>
    <t xml:space="preserve">0.697</t>
  </si>
  <si>
    <t xml:space="preserve">chr17/19/20 elevated</t>
  </si>
  <si>
    <t xml:space="preserve">1.480x</t>
  </si>
  <si>
    <t xml:space="preserve">0.565</t>
  </si>
  <si>
    <t xml:space="preserve">chr19 and chr20 mild elevation</t>
  </si>
  <si>
    <t xml:space="preserve">1.580x</t>
  </si>
  <si>
    <t xml:space="preserve">1.398</t>
  </si>
  <si>
    <t xml:space="preserve">0.093</t>
  </si>
  <si>
    <t xml:space="preserve">FFPE tissue</t>
  </si>
  <si>
    <t xml:space="preserve">Picard MarkDuplicates 2.18.23 (pre-applied)</t>
  </si>
  <si>
    <t xml:space="preserve">PASS</t>
  </si>
  <si>
    <t xml:space="preserve">Severe degradation: highest dup rate (26.3%), lowest properly-paired (78.1%), shortest insert size (68.0bp) in FFPE cohort. Confirmed at 3 independent QC levels (BAM, insert size, ichorCNA MAD)</t>
  </si>
  <si>
    <t xml:space="preserve">Moderate degradation: elevated dup rate (12.4%), reduced properly-paired (92.8%), short insert size (81.3bp).</t>
  </si>
  <si>
    <t xml:space="preserve">Elevated discordant/different-chromosome pairing (1.76% vs ~1% cohort baseline). Insert size normal. Distinct, narrower artefact, not general degradation.</t>
  </si>
  <si>
    <t xml:space="preserve">Elevated dup rate (13.6%) and reduced properly-paired (91.9%), but insert size unremarkable (85.7bp, not distinctively short). Flag not corroborated by fragment length.</t>
  </si>
  <si>
    <t xml:space="preserve">TF (1Mb)</t>
  </si>
  <si>
    <t xml:space="preserve">Ploidy (1Mb)</t>
  </si>
  <si>
    <t xml:space="preserve">MAD (1Mb)</t>
  </si>
  <si>
    <t xml:space="preserve">TF (500kb)</t>
  </si>
  <si>
    <t xml:space="preserve">Ploidy (500kb)</t>
  </si>
  <si>
    <t xml:space="preserve">MAD (500kb)</t>
  </si>
  <si>
    <t xml:space="preserve">Bin Comparison Flag</t>
  </si>
  <si>
    <t xml:space="preserve">Detection Category</t>
  </si>
  <si>
    <t xml:space="preserve">In Final Cohort (n=20)</t>
  </si>
  <si>
    <t xml:space="preserve">Correction Status</t>
  </si>
  <si>
    <t xml:space="preserve">Anomaly Count</t>
  </si>
  <si>
    <t xml:space="preserve">Anomaly Category</t>
  </si>
  <si>
    <t xml:space="preserve">FGA</t>
  </si>
  <si>
    <t xml:space="preserve">FGA Gain</t>
  </si>
  <si>
    <t xml:space="preserve">FGA Loss</t>
  </si>
  <si>
    <t xml:space="preserve">N Segments (FGA)</t>
  </si>
  <si>
    <t xml:space="preserve">AS (50%)</t>
  </si>
  <si>
    <t xml:space="preserve">Arms Gained (50%)</t>
  </si>
  <si>
    <t xml:space="preserve">Arms Lost (50%)</t>
  </si>
  <si>
    <t xml:space="preserve">AS (25%)</t>
  </si>
  <si>
    <t xml:space="preserve">Arms Gained (25%)</t>
  </si>
  <si>
    <t xml:space="preserve">Arms Lost (25%)</t>
  </si>
  <si>
    <t xml:space="preserve">Tissue Ploidy</t>
  </si>
  <si>
    <t xml:space="preserve">Tissue MAD</t>
  </si>
  <si>
    <t xml:space="preserve">Tissue Frac. CNA Subclonal</t>
  </si>
  <si>
    <t xml:space="preserve">Tissue Delta LogLik (ploidy confidence)</t>
  </si>
  <si>
    <t xml:space="preserve">Tissue QC Flag / Notes</t>
  </si>
  <si>
    <t xml:space="preserve">Detectable</t>
  </si>
  <si>
    <t xml:space="preserve">True</t>
  </si>
  <si>
    <t xml:space="preserve">Original</t>
  </si>
  <si>
    <t xml:space="preserve">Borderline</t>
  </si>
  <si>
    <t xml:space="preserve">Below_floor</t>
  </si>
  <si>
    <t xml:space="preserve">False</t>
  </si>
  <si>
    <t xml:space="preserve">Excluded</t>
  </si>
  <si>
    <t xml:space="preserve">THRESHOLD_FLIP</t>
  </si>
  <si>
    <t xml:space="preserve">Clean</t>
  </si>
  <si>
    <t xml:space="preserve">Moderate</t>
  </si>
  <si>
    <t xml:space="preserve">PLOIDY AMBIGUOUS (delta_loglik=34 vs alt ploidy 2.12)</t>
  </si>
  <si>
    <t xml:space="preserve">PLOIDY AMBIGUOUS (delta_loglik=48 vs alt ploidy 2.04) | Elevated MAD</t>
  </si>
  <si>
    <t xml:space="preserve">OK</t>
  </si>
  <si>
    <t xml:space="preserve">High</t>
  </si>
  <si>
    <t xml:space="preserve">MAJOR_OUTLIER</t>
  </si>
  <si>
    <t xml:space="preserve">HIGH subclonal fraction (&gt;0.5)</t>
  </si>
  <si>
    <t xml:space="preserve">PLOIDY AMBIGUOUS (delta_loglik=29 vs alt ploidy 2.32)</t>
  </si>
  <si>
    <t xml:space="preserve">Corrected_seg</t>
  </si>
  <si>
    <t xml:space="preserve">Ploidy_error</t>
  </si>
  <si>
    <t xml:space="preserve">PLOIDY CONFIRMED (diploid-start re-run converged to identical TF/ploidy, delta_loglik=15 reflects two neighbouring near-diploid optima, not competing solutions) | HIGH subclonal fraction (&gt;0.5)</t>
  </si>
  <si>
    <t xml:space="preserve">Elevated MAD</t>
  </si>
  <si>
    <t xml:space="preserve">Localised_artefact</t>
  </si>
  <si>
    <t xml:space="preserve">Batch</t>
  </si>
  <si>
    <t xml:space="preserve">ichorCNA TF</t>
  </si>
  <si>
    <t xml:space="preserve">RASCAL Ploidy</t>
  </si>
  <si>
    <t xml:space="preserve">RASCAL Cellularity</t>
  </si>
  <si>
    <t xml:space="preserve">RASCAL MAD</t>
  </si>
  <si>
    <t xml:space="preserve">N Solutions</t>
  </si>
  <si>
    <t xml:space="preserve">Ambiguous</t>
  </si>
  <si>
    <t xml:space="preserve">Fallback Used</t>
  </si>
  <si>
    <t xml:space="preserve">Segments Used</t>
  </si>
  <si>
    <t xml:space="preserve">Output Segments</t>
  </si>
  <si>
    <t xml:space="preserve">Expected TF (RASCAL)</t>
  </si>
  <si>
    <t xml:space="preserve">TF Difference</t>
  </si>
  <si>
    <t xml:space="preserve">Status</t>
  </si>
  <si>
    <t xml:space="preserve">TF Agreement</t>
  </si>
  <si>
    <t xml:space="preserve">Notes</t>
  </si>
  <si>
    <t xml:space="preserve">B1</t>
  </si>
  <si>
    <t xml:space="preserve">N/A</t>
  </si>
  <si>
    <t xml:space="preserve">SUCCESS</t>
  </si>
  <si>
    <t xml:space="preserve">DISCORDANT (&gt;10%)</t>
  </si>
  <si>
    <t xml:space="preserve">Excluded from final cohort (TF &lt; 3%)</t>
  </si>
  <si>
    <t xml:space="preserve">B2</t>
  </si>
  <si>
    <t xml:space="preserve">GOOD (&lt;5%)</t>
  </si>
  <si>
    <t xml:space="preserve">Ambiguous — see RASCAL Constrained sheet</t>
  </si>
  <si>
    <t xml:space="preserve">See RASCAL Constrained sheet</t>
  </si>
  <si>
    <t xml:space="preserve">ACCEPTABLE (5–10%)</t>
  </si>
  <si>
    <t xml:space="preserve">B3</t>
  </si>
  <si>
    <t xml:space="preserve">Excluded from final cohort (ploidy ambiguous — Δloglik=23)</t>
  </si>
  <si>
    <t xml:space="preserve">ichorCNA Ploidy</t>
  </si>
  <si>
    <t xml:space="preserve">Unconstrained Ploidy</t>
  </si>
  <si>
    <t xml:space="preserve">Unconstrained Cellularity</t>
  </si>
  <si>
    <t xml:space="preserve">Unconstrained MAD</t>
  </si>
  <si>
    <t xml:space="preserve">Unconstrained Expected TF</t>
  </si>
  <si>
    <t xml:space="preserve">Unconstrained TF Diff</t>
  </si>
  <si>
    <t xml:space="preserve">Constrained Ploidy</t>
  </si>
  <si>
    <t xml:space="preserve">Constrained Cellularity</t>
  </si>
  <si>
    <t xml:space="preserve">Constrained MAD</t>
  </si>
  <si>
    <t xml:space="preserve">Constrained Expected TF</t>
  </si>
  <si>
    <t xml:space="preserve">Constrained TF Diff</t>
  </si>
  <si>
    <t xml:space="preserve">Improvement (ΔTF diff)</t>
  </si>
  <si>
    <t xml:space="preserve">N Constrained Solutions</t>
  </si>
  <si>
    <t xml:space="preserve">Cellularity Range Used</t>
  </si>
  <si>
    <t xml:space="preserve">Interpretation</t>
  </si>
  <si>
    <t xml:space="preserve">[0.31,0.6]</t>
  </si>
  <si>
    <t xml:space="preserve">IMPROVED — constrained better than unconstrained</t>
  </si>
  <si>
    <t xml:space="preserve">[0.43,0.73]</t>
  </si>
  <si>
    <t xml:space="preserve">GOOD — constrained agrees with ichorCNA</t>
  </si>
  <si>
    <t xml:space="preserve">[0.36,0.66]</t>
  </si>
  <si>
    <t xml:space="preserve">[0.07,0.37]</t>
  </si>
  <si>
    <t xml:space="preserve">[0.13,0.43]</t>
  </si>
  <si>
    <t xml:space="preserve">[0.1,0.4]</t>
  </si>
  <si>
    <t xml:space="preserve">ACCEPTABLE — constrained close to ichorCNA</t>
  </si>
  <si>
    <t xml:space="preserve">[0.18,0.48]</t>
  </si>
  <si>
    <t xml:space="preserve">[0.05,0.32]</t>
  </si>
  <si>
    <t xml:space="preserve">[0.45,0.75]</t>
  </si>
  <si>
    <t xml:space="preserve">[0.47,0.77]</t>
  </si>
  <si>
    <t xml:space="preserve">[0.21,0.51]</t>
  </si>
  <si>
    <t xml:space="preserve">IMPROVED but still discordant — closer than unconstrained, still &gt;0.10 from ichorCNA</t>
  </si>
  <si>
    <t xml:space="preserve">Peak</t>
  </si>
  <si>
    <t xml:space="preserve">Type</t>
  </si>
  <si>
    <t xml:space="preserve">Cytoband</t>
  </si>
  <si>
    <t xml:space="preserve">Wide Peak Coords (hg38)</t>
  </si>
  <si>
    <t xml:space="preserve">q-value</t>
  </si>
  <si>
    <t xml:space="preserve">Frequency (n=20)</t>
  </si>
  <si>
    <t xml:space="preserve">Key Genes</t>
  </si>
  <si>
    <t xml:space="preserve">Run</t>
  </si>
  <si>
    <t xml:space="preserve">—</t>
  </si>
  <si>
    <t xml:space="preserve">Amplification</t>
  </si>
  <si>
    <t xml:space="preserve">(none)</t>
  </si>
  <si>
    <t xml:space="preserve">No significant peaks found</t>
  </si>
  <si>
    <t xml:space="preserve">n=20</t>
  </si>
  <si>
    <t xml:space="preserve">Del 1</t>
  </si>
  <si>
    <t xml:space="preserve">Deletion</t>
  </si>
  <si>
    <t xml:space="preserve">1p35.3</t>
  </si>
  <si>
    <t xml:space="preserve">chr1:22,960,001–36,090,000</t>
  </si>
  <si>
    <t xml:space="preserve">30% (6/20)</t>
  </si>
  <si>
    <t xml:space="preserve">HMGN2, AHDC1</t>
  </si>
  <si>
    <t xml:space="preserve">Del 2</t>
  </si>
  <si>
    <t xml:space="preserve">1q43</t>
  </si>
  <si>
    <t xml:space="preserve">chr1:233,670,001–248,956,422</t>
  </si>
  <si>
    <t xml:space="preserve">35% (7/20)</t>
  </si>
  <si>
    <t xml:space="preserve">HNRNPU, SMYD3</t>
  </si>
  <si>
    <t xml:space="preserve">Del 3</t>
  </si>
  <si>
    <t xml:space="preserve">4q35.1</t>
  </si>
  <si>
    <t xml:space="preserve">chr4:176,790,001–190,214,555</t>
  </si>
  <si>
    <t xml:space="preserve">60% (12/20)</t>
  </si>
  <si>
    <t xml:space="preserve">FAT1, CASP3, IRF2</t>
  </si>
  <si>
    <t xml:space="preserve">Tumor Fraction (ichorCNA)</t>
  </si>
  <si>
    <t xml:space="preserve">In Final Cohort</t>
  </si>
  <si>
    <t xml:space="preserve">GISTIC Del Peaks (n=20)</t>
  </si>
  <si>
    <t xml:space="preserve">GISTIC Total Peaks (n=20)</t>
  </si>
  <si>
    <t xml:space="preserve">High TF; no recurrent deletion loci</t>
  </si>
  <si>
    <t xml:space="preserve">4q35.1 Del</t>
  </si>
  <si>
    <t xml:space="preserve">4q35.1 Del + 1q43 Del</t>
  </si>
  <si>
    <t xml:space="preserve">4q35.1 Del + 1p35.3 Del</t>
  </si>
  <si>
    <t xml:space="preserve">Amplification Peaks</t>
  </si>
  <si>
    <t xml:space="preserve">Deletion Peaks</t>
  </si>
  <si>
    <t xml:space="preserve">Total Peaks</t>
  </si>
  <si>
    <t xml:space="preserve">n=21 (superseded — do not cite)</t>
  </si>
  <si>
    <t xml:space="preserve">3 (1q32.1/MCL1, 8q24.3/MYC, 11q24.3/ETS1-FLI1)</t>
  </si>
  <si>
    <t xml:space="preserve">3 (4q35.1, 2q37.3/PDCD1, 7q11.22)</t>
  </si>
  <si>
    <t xml:space="preserve">Includes B3_S12 (ploidy-ambiguous); miscalled samples inflate amplification signal</t>
  </si>
  <si>
    <t xml:space="preserve">n=20 (final / verified)</t>
  </si>
  <si>
    <t xml:space="preserve">0 (none significant)</t>
  </si>
  <si>
    <t xml:space="preserve">3 (4q35.1, 1p35.3, 1q43)</t>
  </si>
  <si>
    <t xml:space="preserve">Corrected seg files; B3_S12 excluded. Disappearance of amp peaks = internal validation of correction</t>
  </si>
  <si>
    <t xml:space="preserve">Comparison</t>
  </si>
  <si>
    <t xml:space="preserve">Spearman rho</t>
  </si>
  <si>
    <t xml:space="preserve">p-value</t>
  </si>
  <si>
    <t xml:space="preserve">FDR-adjusted p</t>
  </si>
  <si>
    <t xml:space="preserve">Significant?</t>
  </si>
  <si>
    <t xml:space="preserve">FGA vs GISTIC_total (n=20)</t>
  </si>
  <si>
    <t xml:space="preserve">Nominally yes (p&lt;0.05)</t>
  </si>
  <si>
    <t xml:space="preserve">GISTIC_total capped at 2 (3-level ordinal); continuous FGA retains most power</t>
  </si>
  <si>
    <t xml:space="preserve">AS_50 vs GISTIC_total (n=20)</t>
  </si>
  <si>
    <t xml:space="preserve">No</t>
  </si>
  <si>
    <t xml:space="preserve">AS_25 vs GISTIC_total (n=20)</t>
  </si>
  <si>
    <t xml:space="preserve">All correlations weaker than superseded n=21 run ( previous cohort , while we confimred then n=20 ) expected after removal of artefactual gains</t>
  </si>
  <si>
    <t xml:space="preserve">TF (ichorCNA 1Mb)</t>
  </si>
  <si>
    <t xml:space="preserve">Dedup Status</t>
  </si>
  <si>
    <t xml:space="preserve">N Fragments</t>
  </si>
  <si>
    <t xml:space="preserve">Median Fragment Length (bp)</t>
  </si>
  <si>
    <t xml:space="preserve">Peak Fragment Length (bp)</t>
  </si>
  <si>
    <t xml:space="preserve">Short:Long Ratio</t>
  </si>
  <si>
    <t xml:space="preserve">Long Fragment Fraction</t>
  </si>
  <si>
    <t xml:space="preserve">Batch1</t>
  </si>
  <si>
    <t xml:space="preserve">source_deduplicated</t>
  </si>
  <si>
    <t xml:space="preserve">Excluded from final cohort</t>
  </si>
  <si>
    <t xml:space="preserve">Batch2</t>
  </si>
  <si>
    <t xml:space="preserve">Elevated short:long ratio , high TF</t>
  </si>
  <si>
    <t xml:space="preserve">OUTLIER: long_fragment_fraction 59× cohort next-highest; abnormal 300–400bp tail; highest dup rate. Retained in fragmentomics dataset with sensitivity testing.</t>
  </si>
  <si>
    <t xml:space="preserve">Batch3</t>
  </si>
  <si>
    <t xml:space="preserve">dedup</t>
  </si>
  <si>
    <t xml:space="preserve">Retroactive Picard MD applied for fragmentomics (--READ_NAME_REGEX null)</t>
  </si>
  <si>
    <t xml:space="preserve">Excluded from CNA cohort (ploidy ambiguous); included in fragmentomics dataset</t>
  </si>
  <si>
    <t xml:space="preserve">Metric</t>
  </si>
  <si>
    <t xml:space="preserve">Dataset</t>
  </si>
  <si>
    <t xml:space="preserve">N</t>
  </si>
  <si>
    <t xml:space="preserve">Spearman rho (TF)</t>
  </si>
  <si>
    <t xml:space="preserve">BH-adjusted p</t>
  </si>
  <si>
    <t xml:space="preserve">Median fragment length</t>
  </si>
  <si>
    <t xml:space="preserve">All samples (n=34)</t>
  </si>
  <si>
    <t xml:space="preserve">Yes</t>
  </si>
  <si>
    <t xml:space="preserve">Excluding B2_S11 (n=33)</t>
  </si>
  <si>
    <t xml:space="preserve">Peak fragment length</t>
  </si>
  <si>
    <t xml:space="preserve">Short:long ratio</t>
  </si>
  <si>
    <t xml:space="preserve">Long fragment fraction</t>
  </si>
  <si>
    <t xml:space="preserve">Test</t>
  </si>
  <si>
    <t xml:space="preserve">N1</t>
  </si>
  <si>
    <t xml:space="preserve">N2</t>
  </si>
  <si>
    <t xml:space="preserve">Statistic</t>
  </si>
  <si>
    <t xml:space="preserve">df</t>
  </si>
  <si>
    <t xml:space="preserve">All samples</t>
  </si>
  <si>
    <t xml:space="preserve">Kruskal-Wallis</t>
  </si>
  <si>
    <t xml:space="preserve">Omnibus (3 groups)</t>
  </si>
  <si>
    <t xml:space="preserve">Wilcoxon pairwise</t>
  </si>
  <si>
    <t xml:space="preserve">Below_floor vs Low_TF</t>
  </si>
  <si>
    <t xml:space="preserve">Below_floor vs High_TF</t>
  </si>
  <si>
    <t xml:space="preserve">Low_TF vs High_TF</t>
  </si>
  <si>
    <t xml:space="preserve">No (trend)</t>
  </si>
  <si>
    <t xml:space="preserve">Excluding B2_S11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</si>
</sst>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#,##0"/>
    <numFmt numFmtId="167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C9211E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24" activeCellId="0" sqref="F24"/>
    </sheetView>
  </sheetViews>
  <sheetFormatPr defaultColWidth="8.59765625" defaultRowHeight="15" zeroHeight="false" outlineLevelRow="0" outlineLevelCol="0"/>
  <cols>
    <col collapsed="false" customWidth="true" hidden="false" outlineLevel="0" max="4" min="1" style="1" width="13"/>
    <col collapsed="false" customWidth="true" hidden="false" outlineLevel="0" max="5" min="5" style="1" width="17"/>
    <col collapsed="false" customWidth="true" hidden="false" outlineLevel="0" max="6" min="6" style="1" width="34"/>
    <col collapsed="false" customWidth="true" hidden="false" outlineLevel="0" max="7" min="7" style="1" width="13"/>
    <col collapsed="false" customWidth="true" hidden="false" outlineLevel="0" max="9" min="8" style="1" width="16"/>
    <col collapsed="false" customWidth="true" hidden="false" outlineLevel="0" max="10" min="10" style="1" width="30"/>
    <col collapsed="false" customWidth="true" hidden="false" outlineLevel="0" max="11" min="11" style="1" width="11"/>
  </cols>
  <sheetData>
    <row r="1" customFormat="false" ht="23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true" outlineLevel="0" collapsed="false">
      <c r="A2" s="3" t="s">
        <v>11</v>
      </c>
      <c r="B2" s="3" t="s">
        <v>12</v>
      </c>
      <c r="C2" s="3" t="s">
        <v>13</v>
      </c>
      <c r="D2" s="3" t="s">
        <v>14</v>
      </c>
      <c r="E2" s="4" t="s">
        <v>15</v>
      </c>
      <c r="F2" s="3" t="s">
        <v>16</v>
      </c>
      <c r="G2" s="5" t="n">
        <v>0.06348</v>
      </c>
      <c r="H2" s="4" t="s">
        <v>17</v>
      </c>
      <c r="I2" s="3"/>
      <c r="J2" s="3"/>
      <c r="K2" s="3"/>
    </row>
    <row r="3" customFormat="false" ht="15" hidden="false" customHeight="true" outlineLevel="0" collapsed="false">
      <c r="A3" s="3" t="s">
        <v>18</v>
      </c>
      <c r="B3" s="3" t="s">
        <v>19</v>
      </c>
      <c r="C3" s="3" t="s">
        <v>13</v>
      </c>
      <c r="D3" s="3"/>
      <c r="E3" s="4" t="s">
        <v>20</v>
      </c>
      <c r="F3" s="3" t="s">
        <v>21</v>
      </c>
      <c r="G3" s="5" t="n">
        <v>0.05354</v>
      </c>
      <c r="H3" s="4" t="s">
        <v>17</v>
      </c>
      <c r="I3" s="3"/>
      <c r="J3" s="3"/>
      <c r="K3" s="3"/>
    </row>
    <row r="4" customFormat="false" ht="15" hidden="false" customHeight="true" outlineLevel="0" collapsed="false">
      <c r="A4" s="3" t="s">
        <v>22</v>
      </c>
      <c r="B4" s="3" t="s">
        <v>23</v>
      </c>
      <c r="C4" s="3" t="s">
        <v>13</v>
      </c>
      <c r="D4" s="3"/>
      <c r="E4" s="4" t="s">
        <v>20</v>
      </c>
      <c r="F4" s="3" t="s">
        <v>24</v>
      </c>
      <c r="G4" s="5" t="n">
        <v>0.01883</v>
      </c>
      <c r="H4" s="4" t="s">
        <v>25</v>
      </c>
      <c r="I4" s="3"/>
      <c r="J4" s="3"/>
      <c r="K4" s="3"/>
    </row>
    <row r="5" customFormat="false" ht="15" hidden="false" customHeight="true" outlineLevel="0" collapsed="false">
      <c r="A5" s="3" t="s">
        <v>26</v>
      </c>
      <c r="B5" s="3" t="s">
        <v>27</v>
      </c>
      <c r="C5" s="3" t="s">
        <v>28</v>
      </c>
      <c r="D5" s="3"/>
      <c r="E5" s="4"/>
      <c r="F5" s="3" t="s">
        <v>29</v>
      </c>
      <c r="G5" s="5" t="n">
        <v>0.02921</v>
      </c>
      <c r="H5" s="4" t="s">
        <v>25</v>
      </c>
      <c r="I5" s="3"/>
      <c r="J5" s="3"/>
      <c r="K5" s="3"/>
    </row>
    <row r="6" customFormat="false" ht="15" hidden="false" customHeight="true" outlineLevel="0" collapsed="false">
      <c r="A6" s="3" t="s">
        <v>30</v>
      </c>
      <c r="B6" s="3" t="s">
        <v>31</v>
      </c>
      <c r="C6" s="3" t="s">
        <v>13</v>
      </c>
      <c r="D6" s="3" t="s">
        <v>14</v>
      </c>
      <c r="E6" s="4"/>
      <c r="F6" s="3" t="s">
        <v>32</v>
      </c>
      <c r="G6" s="5" t="n">
        <v>0.03841</v>
      </c>
      <c r="H6" s="4" t="s">
        <v>17</v>
      </c>
      <c r="I6" s="3"/>
      <c r="J6" s="3"/>
      <c r="K6" s="3"/>
    </row>
    <row r="7" customFormat="false" ht="15" hidden="false" customHeight="true" outlineLevel="0" collapsed="false">
      <c r="A7" s="3" t="s">
        <v>33</v>
      </c>
      <c r="B7" s="3" t="s">
        <v>34</v>
      </c>
      <c r="C7" s="3" t="s">
        <v>13</v>
      </c>
      <c r="D7" s="3" t="s">
        <v>2</v>
      </c>
      <c r="E7" s="4" t="s">
        <v>20</v>
      </c>
      <c r="F7" s="3" t="s">
        <v>35</v>
      </c>
      <c r="G7" s="5" t="n">
        <v>0.1718</v>
      </c>
      <c r="H7" s="4" t="s">
        <v>17</v>
      </c>
      <c r="I7" s="3" t="s">
        <v>36</v>
      </c>
      <c r="J7" s="3" t="s">
        <v>37</v>
      </c>
      <c r="K7" s="5" t="n">
        <v>0.12</v>
      </c>
    </row>
    <row r="8" customFormat="false" ht="15" hidden="false" customHeight="true" outlineLevel="0" collapsed="false">
      <c r="A8" s="3" t="s">
        <v>38</v>
      </c>
      <c r="B8" s="3" t="s">
        <v>39</v>
      </c>
      <c r="C8" s="3" t="s">
        <v>13</v>
      </c>
      <c r="D8" s="3" t="s">
        <v>2</v>
      </c>
      <c r="E8" s="4" t="s">
        <v>15</v>
      </c>
      <c r="F8" s="3" t="s">
        <v>40</v>
      </c>
      <c r="G8" s="5" t="n">
        <v>0.04475</v>
      </c>
      <c r="H8" s="4" t="s">
        <v>17</v>
      </c>
      <c r="I8" s="3" t="s">
        <v>41</v>
      </c>
      <c r="J8" s="3" t="s">
        <v>42</v>
      </c>
      <c r="K8" s="5" t="n">
        <v>0.0671</v>
      </c>
    </row>
    <row r="9" customFormat="false" ht="15" hidden="false" customHeight="true" outlineLevel="0" collapsed="false">
      <c r="A9" s="3" t="s">
        <v>43</v>
      </c>
      <c r="B9" s="3" t="s">
        <v>44</v>
      </c>
      <c r="C9" s="3" t="s">
        <v>13</v>
      </c>
      <c r="D9" s="3" t="s">
        <v>2</v>
      </c>
      <c r="E9" s="4" t="s">
        <v>20</v>
      </c>
      <c r="F9" s="3" t="s">
        <v>45</v>
      </c>
      <c r="G9" s="5" t="n">
        <v>0.08393</v>
      </c>
      <c r="H9" s="4" t="s">
        <v>17</v>
      </c>
      <c r="I9" s="3" t="s">
        <v>46</v>
      </c>
      <c r="J9" s="3" t="s">
        <v>47</v>
      </c>
      <c r="K9" s="5" t="n">
        <v>0.03321</v>
      </c>
    </row>
    <row r="10" customFormat="false" ht="15" hidden="false" customHeight="true" outlineLevel="0" collapsed="false">
      <c r="A10" s="3" t="s">
        <v>48</v>
      </c>
      <c r="B10" s="3" t="s">
        <v>49</v>
      </c>
      <c r="C10" s="3" t="s">
        <v>50</v>
      </c>
      <c r="D10" s="3" t="s">
        <v>2</v>
      </c>
      <c r="E10" s="4" t="s">
        <v>15</v>
      </c>
      <c r="F10" s="3" t="s">
        <v>51</v>
      </c>
      <c r="G10" s="5" t="n">
        <v>0.4552</v>
      </c>
      <c r="H10" s="4" t="s">
        <v>17</v>
      </c>
      <c r="I10" s="3" t="s">
        <v>52</v>
      </c>
      <c r="J10" s="3" t="s">
        <v>53</v>
      </c>
      <c r="K10" s="5" t="n">
        <v>0.4312</v>
      </c>
    </row>
    <row r="11" customFormat="false" ht="15" hidden="false" customHeight="true" outlineLevel="0" collapsed="false">
      <c r="A11" s="3" t="s">
        <v>54</v>
      </c>
      <c r="B11" s="3" t="s">
        <v>55</v>
      </c>
      <c r="C11" s="3" t="s">
        <v>56</v>
      </c>
      <c r="D11" s="3" t="s">
        <v>2</v>
      </c>
      <c r="E11" s="4" t="s">
        <v>20</v>
      </c>
      <c r="F11" s="3" t="s">
        <v>57</v>
      </c>
      <c r="G11" s="5" t="n">
        <v>0.5769</v>
      </c>
      <c r="H11" s="4" t="s">
        <v>17</v>
      </c>
      <c r="I11" s="3" t="s">
        <v>58</v>
      </c>
      <c r="J11" s="3" t="s">
        <v>59</v>
      </c>
      <c r="K11" s="5" t="n">
        <v>0.7569</v>
      </c>
    </row>
    <row r="12" customFormat="false" ht="15" hidden="false" customHeight="true" outlineLevel="0" collapsed="false">
      <c r="A12" s="3" t="s">
        <v>60</v>
      </c>
      <c r="B12" s="3" t="s">
        <v>61</v>
      </c>
      <c r="C12" s="3" t="s">
        <v>28</v>
      </c>
      <c r="D12" s="3" t="s">
        <v>2</v>
      </c>
      <c r="E12" s="4" t="s">
        <v>20</v>
      </c>
      <c r="F12" s="3" t="s">
        <v>62</v>
      </c>
      <c r="G12" s="5" t="n">
        <v>0.5066</v>
      </c>
      <c r="H12" s="4" t="s">
        <v>17</v>
      </c>
      <c r="I12" s="3" t="s">
        <v>63</v>
      </c>
      <c r="J12" s="3" t="s">
        <v>64</v>
      </c>
      <c r="K12" s="5" t="n">
        <v>0.03694</v>
      </c>
    </row>
    <row r="13" customFormat="false" ht="15" hidden="false" customHeight="true" outlineLevel="0" collapsed="false">
      <c r="A13" s="3" t="s">
        <v>65</v>
      </c>
      <c r="B13" s="3" t="s">
        <v>66</v>
      </c>
      <c r="C13" s="3" t="s">
        <v>13</v>
      </c>
      <c r="D13" s="3" t="s">
        <v>2</v>
      </c>
      <c r="E13" s="4" t="s">
        <v>15</v>
      </c>
      <c r="F13" s="3" t="s">
        <v>67</v>
      </c>
      <c r="G13" s="5" t="n">
        <v>0.2236</v>
      </c>
      <c r="H13" s="4" t="s">
        <v>17</v>
      </c>
      <c r="I13" s="3" t="s">
        <v>68</v>
      </c>
      <c r="J13" s="3" t="s">
        <v>69</v>
      </c>
      <c r="K13" s="5" t="n">
        <v>0.07489</v>
      </c>
    </row>
    <row r="14" customFormat="false" ht="15" hidden="false" customHeight="true" outlineLevel="0" collapsed="false">
      <c r="A14" s="3" t="s">
        <v>70</v>
      </c>
      <c r="B14" s="3" t="s">
        <v>71</v>
      </c>
      <c r="C14" s="3" t="s">
        <v>28</v>
      </c>
      <c r="D14" s="3" t="s">
        <v>2</v>
      </c>
      <c r="E14" s="4" t="s">
        <v>20</v>
      </c>
      <c r="F14" s="3" t="s">
        <v>72</v>
      </c>
      <c r="G14" s="5" t="n">
        <v>0.2838</v>
      </c>
      <c r="H14" s="4" t="s">
        <v>17</v>
      </c>
      <c r="I14" s="3" t="s">
        <v>73</v>
      </c>
      <c r="J14" s="3" t="s">
        <v>74</v>
      </c>
      <c r="K14" s="5" t="n">
        <v>0.2045</v>
      </c>
    </row>
    <row r="15" customFormat="false" ht="15" hidden="false" customHeight="true" outlineLevel="0" collapsed="false">
      <c r="A15" s="3" t="s">
        <v>75</v>
      </c>
      <c r="B15" s="3" t="s">
        <v>76</v>
      </c>
      <c r="C15" s="3" t="s">
        <v>13</v>
      </c>
      <c r="D15" s="3" t="s">
        <v>2</v>
      </c>
      <c r="E15" s="4" t="s">
        <v>20</v>
      </c>
      <c r="F15" s="3" t="s">
        <v>77</v>
      </c>
      <c r="G15" s="5" t="n">
        <v>0.01715</v>
      </c>
      <c r="H15" s="4" t="s">
        <v>20</v>
      </c>
      <c r="I15" s="3" t="s">
        <v>78</v>
      </c>
      <c r="J15" s="3" t="s">
        <v>79</v>
      </c>
      <c r="K15" s="5" t="n">
        <v>0.03856</v>
      </c>
    </row>
    <row r="16" customFormat="false" ht="15" hidden="false" customHeight="true" outlineLevel="0" collapsed="false">
      <c r="A16" s="3" t="s">
        <v>80</v>
      </c>
      <c r="B16" s="3" t="s">
        <v>81</v>
      </c>
      <c r="C16" s="3" t="s">
        <v>13</v>
      </c>
      <c r="D16" s="3" t="s">
        <v>2</v>
      </c>
      <c r="E16" s="4" t="s">
        <v>15</v>
      </c>
      <c r="F16" s="3" t="s">
        <v>82</v>
      </c>
      <c r="G16" s="5" t="n">
        <v>0.01554</v>
      </c>
      <c r="H16" s="4" t="s">
        <v>20</v>
      </c>
      <c r="I16" s="3" t="s">
        <v>83</v>
      </c>
      <c r="J16" s="3" t="s">
        <v>84</v>
      </c>
      <c r="K16" s="5" t="n">
        <v>0.09541</v>
      </c>
    </row>
    <row r="17" customFormat="false" ht="15" hidden="false" customHeight="true" outlineLevel="0" collapsed="false">
      <c r="A17" s="3" t="s">
        <v>85</v>
      </c>
      <c r="B17" s="3" t="s">
        <v>86</v>
      </c>
      <c r="C17" s="3" t="s">
        <v>56</v>
      </c>
      <c r="D17" s="3" t="s">
        <v>2</v>
      </c>
      <c r="E17" s="4" t="s">
        <v>15</v>
      </c>
      <c r="F17" s="3" t="s">
        <v>87</v>
      </c>
      <c r="G17" s="5" t="n">
        <v>0.01569</v>
      </c>
      <c r="H17" s="4" t="s">
        <v>20</v>
      </c>
      <c r="I17" s="3" t="s">
        <v>88</v>
      </c>
      <c r="J17" s="3" t="s">
        <v>89</v>
      </c>
      <c r="K17" s="5" t="n">
        <v>0.1048</v>
      </c>
    </row>
    <row r="18" customFormat="false" ht="15" hidden="false" customHeight="true" outlineLevel="0" collapsed="false">
      <c r="A18" s="3" t="s">
        <v>90</v>
      </c>
      <c r="B18" s="3" t="s">
        <v>91</v>
      </c>
      <c r="C18" s="3" t="s">
        <v>13</v>
      </c>
      <c r="D18" s="3" t="s">
        <v>2</v>
      </c>
      <c r="E18" s="4" t="s">
        <v>15</v>
      </c>
      <c r="F18" s="3" t="s">
        <v>92</v>
      </c>
      <c r="G18" s="5" t="n">
        <v>0.07153</v>
      </c>
      <c r="H18" s="4" t="s">
        <v>17</v>
      </c>
      <c r="I18" s="3" t="s">
        <v>93</v>
      </c>
      <c r="J18" s="3" t="s">
        <v>94</v>
      </c>
      <c r="K18" s="5" t="n">
        <v>0.05915</v>
      </c>
    </row>
    <row r="19" customFormat="false" ht="15" hidden="false" customHeight="true" outlineLevel="0" collapsed="false">
      <c r="A19" s="3" t="s">
        <v>95</v>
      </c>
      <c r="B19" s="3" t="s">
        <v>96</v>
      </c>
      <c r="C19" s="3" t="s">
        <v>28</v>
      </c>
      <c r="D19" s="3" t="s">
        <v>2</v>
      </c>
      <c r="E19" s="4" t="s">
        <v>15</v>
      </c>
      <c r="F19" s="3" t="s">
        <v>97</v>
      </c>
      <c r="G19" s="5" t="n">
        <v>0.02337</v>
      </c>
      <c r="H19" s="4" t="s">
        <v>20</v>
      </c>
      <c r="I19" s="3" t="s">
        <v>98</v>
      </c>
      <c r="J19" s="3" t="s">
        <v>99</v>
      </c>
      <c r="K19" s="5" t="n">
        <v>0.07498</v>
      </c>
    </row>
    <row r="20" customFormat="false" ht="15" hidden="false" customHeight="true" outlineLevel="0" collapsed="false">
      <c r="A20" s="3" t="s">
        <v>100</v>
      </c>
      <c r="B20" s="3" t="s">
        <v>101</v>
      </c>
      <c r="C20" s="3" t="s">
        <v>28</v>
      </c>
      <c r="D20" s="3" t="s">
        <v>2</v>
      </c>
      <c r="E20" s="4" t="s">
        <v>20</v>
      </c>
      <c r="F20" s="3" t="s">
        <v>102</v>
      </c>
      <c r="G20" s="5" t="n">
        <v>0.02511</v>
      </c>
      <c r="H20" s="4" t="s">
        <v>20</v>
      </c>
      <c r="I20" s="3" t="s">
        <v>103</v>
      </c>
      <c r="J20" s="3" t="s">
        <v>104</v>
      </c>
      <c r="K20" s="5" t="n">
        <v>0.03326</v>
      </c>
    </row>
    <row r="21" customFormat="false" ht="15" hidden="false" customHeight="true" outlineLevel="0" collapsed="false">
      <c r="A21" s="3" t="s">
        <v>105</v>
      </c>
      <c r="B21" s="3" t="s">
        <v>106</v>
      </c>
      <c r="C21" s="3" t="s">
        <v>28</v>
      </c>
      <c r="D21" s="3" t="s">
        <v>2</v>
      </c>
      <c r="E21" s="4" t="s">
        <v>20</v>
      </c>
      <c r="F21" s="3" t="s">
        <v>107</v>
      </c>
      <c r="G21" s="5" t="n">
        <v>0.2478</v>
      </c>
      <c r="H21" s="4" t="s">
        <v>17</v>
      </c>
      <c r="I21" s="3" t="s">
        <v>108</v>
      </c>
      <c r="J21" s="3" t="s">
        <v>109</v>
      </c>
      <c r="K21" s="5" t="n">
        <v>0.4607</v>
      </c>
    </row>
    <row r="22" customFormat="false" ht="15" hidden="false" customHeight="true" outlineLevel="0" collapsed="false">
      <c r="A22" s="3" t="s">
        <v>110</v>
      </c>
      <c r="B22" s="3" t="s">
        <v>111</v>
      </c>
      <c r="C22" s="3" t="s">
        <v>28</v>
      </c>
      <c r="D22" s="3" t="s">
        <v>2</v>
      </c>
      <c r="E22" s="4" t="s">
        <v>15</v>
      </c>
      <c r="F22" s="3" t="s">
        <v>112</v>
      </c>
      <c r="G22" s="5" t="n">
        <v>0.3281</v>
      </c>
      <c r="H22" s="4" t="s">
        <v>17</v>
      </c>
      <c r="I22" s="3" t="s">
        <v>113</v>
      </c>
      <c r="J22" s="3" t="s">
        <v>114</v>
      </c>
      <c r="K22" s="5" t="n">
        <v>0.4477</v>
      </c>
    </row>
    <row r="23" customFormat="false" ht="15" hidden="false" customHeight="true" outlineLevel="0" collapsed="false">
      <c r="A23" s="3" t="s">
        <v>115</v>
      </c>
      <c r="B23" s="3" t="s">
        <v>116</v>
      </c>
      <c r="C23" s="3" t="s">
        <v>28</v>
      </c>
      <c r="D23" s="3"/>
      <c r="E23" s="4" t="s">
        <v>15</v>
      </c>
      <c r="F23" s="3" t="s">
        <v>117</v>
      </c>
      <c r="G23" s="5" t="n">
        <v>0.03636</v>
      </c>
      <c r="H23" s="4" t="s">
        <v>17</v>
      </c>
      <c r="I23" s="3"/>
      <c r="J23" s="3"/>
      <c r="K23" s="3"/>
    </row>
    <row r="24" customFormat="false" ht="15" hidden="false" customHeight="true" outlineLevel="0" collapsed="false">
      <c r="A24" s="3" t="s">
        <v>118</v>
      </c>
      <c r="B24" s="3" t="s">
        <v>119</v>
      </c>
      <c r="C24" s="3" t="s">
        <v>13</v>
      </c>
      <c r="D24" s="3"/>
      <c r="E24" s="4" t="s">
        <v>15</v>
      </c>
      <c r="F24" s="3" t="s">
        <v>120</v>
      </c>
      <c r="G24" s="5" t="n">
        <v>0.01195</v>
      </c>
      <c r="H24" s="4" t="s">
        <v>20</v>
      </c>
      <c r="I24" s="3"/>
      <c r="J24" s="3"/>
      <c r="K24" s="3"/>
    </row>
    <row r="25" customFormat="false" ht="15" hidden="false" customHeight="true" outlineLevel="0" collapsed="false">
      <c r="A25" s="3" t="s">
        <v>121</v>
      </c>
      <c r="B25" s="3" t="s">
        <v>122</v>
      </c>
      <c r="C25" s="3" t="s">
        <v>28</v>
      </c>
      <c r="D25" s="3" t="s">
        <v>2</v>
      </c>
      <c r="E25" s="4" t="s">
        <v>15</v>
      </c>
      <c r="F25" s="3" t="s">
        <v>123</v>
      </c>
      <c r="G25" s="5" t="n">
        <v>0.01944</v>
      </c>
      <c r="H25" s="4" t="s">
        <v>20</v>
      </c>
      <c r="I25" s="3"/>
      <c r="J25" s="3"/>
      <c r="K25" s="3"/>
    </row>
    <row r="26" customFormat="false" ht="15" hidden="false" customHeight="true" outlineLevel="0" collapsed="false">
      <c r="A26" s="3" t="s">
        <v>124</v>
      </c>
      <c r="B26" s="3" t="s">
        <v>125</v>
      </c>
      <c r="C26" s="3" t="s">
        <v>126</v>
      </c>
      <c r="D26" s="3" t="s">
        <v>2</v>
      </c>
      <c r="E26" s="4" t="s">
        <v>20</v>
      </c>
      <c r="F26" s="3" t="s">
        <v>127</v>
      </c>
      <c r="G26" s="5" t="n">
        <v>0.04876</v>
      </c>
      <c r="H26" s="4" t="s">
        <v>17</v>
      </c>
      <c r="I26" s="3"/>
      <c r="J26" s="3"/>
      <c r="K26" s="3"/>
    </row>
    <row r="27" customFormat="false" ht="15" hidden="false" customHeight="true" outlineLevel="0" collapsed="false">
      <c r="A27" s="3" t="s">
        <v>128</v>
      </c>
      <c r="B27" s="3" t="s">
        <v>129</v>
      </c>
      <c r="C27" s="3" t="s">
        <v>13</v>
      </c>
      <c r="D27" s="3" t="s">
        <v>14</v>
      </c>
      <c r="E27" s="4" t="s">
        <v>15</v>
      </c>
      <c r="F27" s="3" t="s">
        <v>130</v>
      </c>
      <c r="G27" s="5" t="n">
        <v>0.06386</v>
      </c>
      <c r="H27" s="4" t="s">
        <v>17</v>
      </c>
      <c r="I27" s="3"/>
      <c r="J27" s="3"/>
      <c r="K27" s="3"/>
    </row>
    <row r="28" customFormat="false" ht="15" hidden="false" customHeight="true" outlineLevel="0" collapsed="false">
      <c r="A28" s="3" t="s">
        <v>131</v>
      </c>
      <c r="B28" s="3" t="s">
        <v>132</v>
      </c>
      <c r="C28" s="3" t="s">
        <v>13</v>
      </c>
      <c r="D28" s="3" t="s">
        <v>14</v>
      </c>
      <c r="E28" s="4" t="s">
        <v>15</v>
      </c>
      <c r="F28" s="3" t="s">
        <v>133</v>
      </c>
      <c r="G28" s="5" t="n">
        <v>0.6033</v>
      </c>
      <c r="H28" s="4" t="s">
        <v>17</v>
      </c>
      <c r="I28" s="3"/>
      <c r="J28" s="3"/>
      <c r="K28" s="3"/>
    </row>
    <row r="29" customFormat="false" ht="15" hidden="false" customHeight="true" outlineLevel="0" collapsed="false">
      <c r="A29" s="3" t="s">
        <v>134</v>
      </c>
      <c r="B29" s="3" t="s">
        <v>135</v>
      </c>
      <c r="C29" s="3" t="s">
        <v>13</v>
      </c>
      <c r="D29" s="3" t="s">
        <v>14</v>
      </c>
      <c r="E29" s="4" t="s">
        <v>20</v>
      </c>
      <c r="F29" s="3" t="s">
        <v>136</v>
      </c>
      <c r="G29" s="5" t="n">
        <v>0.008588</v>
      </c>
      <c r="H29" s="4" t="s">
        <v>20</v>
      </c>
      <c r="I29" s="3"/>
      <c r="J29" s="3"/>
      <c r="K29" s="3"/>
    </row>
    <row r="30" customFormat="false" ht="15" hidden="false" customHeight="true" outlineLevel="0" collapsed="false">
      <c r="A30" s="3" t="s">
        <v>137</v>
      </c>
      <c r="B30" s="3" t="s">
        <v>138</v>
      </c>
      <c r="C30" s="3" t="s">
        <v>28</v>
      </c>
      <c r="D30" s="3" t="s">
        <v>14</v>
      </c>
      <c r="E30" s="4" t="s">
        <v>20</v>
      </c>
      <c r="F30" s="3" t="s">
        <v>139</v>
      </c>
      <c r="G30" s="5" t="n">
        <v>0.6228</v>
      </c>
      <c r="H30" s="4" t="s">
        <v>17</v>
      </c>
      <c r="I30" s="3"/>
      <c r="J30" s="3"/>
      <c r="K30" s="3"/>
    </row>
    <row r="31" customFormat="false" ht="15" hidden="false" customHeight="true" outlineLevel="0" collapsed="false">
      <c r="A31" s="3" t="s">
        <v>140</v>
      </c>
      <c r="B31" s="3" t="s">
        <v>141</v>
      </c>
      <c r="C31" s="3" t="s">
        <v>142</v>
      </c>
      <c r="D31" s="3" t="s">
        <v>2</v>
      </c>
      <c r="E31" s="4" t="s">
        <v>20</v>
      </c>
      <c r="F31" s="3" t="s">
        <v>143</v>
      </c>
      <c r="G31" s="5" t="n">
        <v>0.3612</v>
      </c>
      <c r="H31" s="4" t="s">
        <v>17</v>
      </c>
      <c r="I31" s="3"/>
      <c r="J31" s="3"/>
      <c r="K31" s="3"/>
    </row>
    <row r="32" customFormat="false" ht="15" hidden="false" customHeight="true" outlineLevel="0" collapsed="false">
      <c r="A32" s="3" t="s">
        <v>144</v>
      </c>
      <c r="B32" s="3" t="s">
        <v>145</v>
      </c>
      <c r="C32" s="3" t="s">
        <v>28</v>
      </c>
      <c r="D32" s="3"/>
      <c r="E32" s="4"/>
      <c r="F32" s="3" t="s">
        <v>146</v>
      </c>
      <c r="G32" s="5" t="n">
        <v>0.01431</v>
      </c>
      <c r="H32" s="4" t="s">
        <v>20</v>
      </c>
      <c r="I32" s="3"/>
      <c r="J32" s="3"/>
      <c r="K32" s="3"/>
    </row>
    <row r="33" customFormat="false" ht="15" hidden="false" customHeight="true" outlineLevel="0" collapsed="false">
      <c r="A33" s="3" t="s">
        <v>147</v>
      </c>
      <c r="B33" s="3" t="s">
        <v>148</v>
      </c>
      <c r="C33" s="3" t="s">
        <v>28</v>
      </c>
      <c r="D33" s="3"/>
      <c r="E33" s="4" t="s">
        <v>15</v>
      </c>
      <c r="F33" s="3" t="s">
        <v>149</v>
      </c>
      <c r="G33" s="5" t="n">
        <v>0.009693</v>
      </c>
      <c r="H33" s="4" t="s">
        <v>20</v>
      </c>
      <c r="I33" s="3"/>
      <c r="J33" s="3"/>
      <c r="K33" s="3"/>
    </row>
    <row r="34" customFormat="false" ht="15" hidden="false" customHeight="true" outlineLevel="0" collapsed="false">
      <c r="A34" s="3" t="s">
        <v>150</v>
      </c>
      <c r="B34" s="3" t="s">
        <v>151</v>
      </c>
      <c r="C34" s="3" t="s">
        <v>28</v>
      </c>
      <c r="D34" s="3"/>
      <c r="E34" s="4" t="s">
        <v>15</v>
      </c>
      <c r="F34" s="3" t="s">
        <v>152</v>
      </c>
      <c r="G34" s="5" t="n">
        <v>0.0903</v>
      </c>
      <c r="H34" s="4" t="s">
        <v>20</v>
      </c>
      <c r="I34" s="3"/>
      <c r="J34" s="3"/>
      <c r="K34" s="3"/>
    </row>
    <row r="35" customFormat="false" ht="15" hidden="false" customHeight="true" outlineLevel="0" collapsed="false">
      <c r="A35" s="3" t="s">
        <v>153</v>
      </c>
      <c r="B35" s="3" t="s">
        <v>154</v>
      </c>
      <c r="C35" s="3" t="s">
        <v>28</v>
      </c>
      <c r="D35" s="3" t="s">
        <v>2</v>
      </c>
      <c r="E35" s="4" t="s">
        <v>20</v>
      </c>
      <c r="F35" s="3" t="s">
        <v>155</v>
      </c>
      <c r="G35" s="5" t="n">
        <v>0.01993</v>
      </c>
      <c r="H35" s="4" t="s">
        <v>20</v>
      </c>
      <c r="I35" s="3"/>
      <c r="J35" s="3"/>
      <c r="K35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T21" activeCellId="0" sqref="T21"/>
    </sheetView>
  </sheetViews>
  <sheetFormatPr defaultColWidth="8.59765625" defaultRowHeight="15" zeroHeight="false" outlineLevelRow="0" outlineLevelCol="0"/>
  <cols>
    <col collapsed="false" customWidth="true" hidden="false" outlineLevel="0" max="3" min="1" style="1" width="13"/>
    <col collapsed="false" customWidth="true" hidden="false" outlineLevel="0" max="5" min="4" style="1" width="12"/>
    <col collapsed="false" customWidth="true" hidden="false" outlineLevel="0" max="6" min="6" style="1" width="10"/>
    <col collapsed="false" customWidth="true" hidden="false" outlineLevel="0" max="7" min="7" style="1" width="11"/>
    <col collapsed="false" customWidth="true" hidden="false" outlineLevel="0" max="8" min="8" style="1" width="9"/>
    <col collapsed="false" customWidth="true" hidden="false" outlineLevel="0" max="9" min="9" style="1" width="13"/>
    <col collapsed="false" customWidth="true" hidden="false" outlineLevel="0" max="10" min="10" style="1" width="10"/>
    <col collapsed="false" customWidth="true" hidden="false" outlineLevel="0" max="11" min="11" style="1" width="13"/>
    <col collapsed="false" customWidth="true" hidden="false" outlineLevel="0" max="12" min="12" style="1" width="12"/>
    <col collapsed="false" customWidth="true" hidden="false" outlineLevel="0" max="13" min="13" style="1" width="11"/>
    <col collapsed="false" customWidth="true" hidden="false" outlineLevel="0" max="14" min="14" style="1" width="26"/>
    <col collapsed="false" customWidth="true" hidden="false" outlineLevel="0" max="15" min="15" style="1" width="12"/>
    <col collapsed="false" customWidth="true" hidden="false" outlineLevel="0" max="17" min="16" style="1" width="10"/>
    <col collapsed="false" customWidth="true" hidden="false" outlineLevel="0" max="18" min="18" style="1" width="17"/>
    <col collapsed="false" customWidth="true" hidden="false" outlineLevel="0" max="19" min="19" style="1" width="15"/>
    <col collapsed="false" customWidth="true" hidden="false" outlineLevel="0" max="20" min="20" style="1" width="55"/>
  </cols>
  <sheetData>
    <row r="1" customFormat="false" ht="23.25" hidden="false" customHeight="true" outlineLevel="0" collapsed="false">
      <c r="A1" s="2" t="s">
        <v>0</v>
      </c>
      <c r="B1" s="6" t="s">
        <v>1</v>
      </c>
      <c r="C1" s="6" t="s">
        <v>156</v>
      </c>
      <c r="D1" s="6" t="s">
        <v>157</v>
      </c>
      <c r="E1" s="6" t="s">
        <v>158</v>
      </c>
      <c r="F1" s="6" t="s">
        <v>159</v>
      </c>
      <c r="G1" s="6" t="s">
        <v>160</v>
      </c>
      <c r="H1" s="6" t="s">
        <v>161</v>
      </c>
      <c r="I1" s="2" t="s">
        <v>162</v>
      </c>
      <c r="J1" s="2" t="s">
        <v>163</v>
      </c>
      <c r="K1" s="2" t="s">
        <v>164</v>
      </c>
      <c r="L1" s="2" t="s">
        <v>165</v>
      </c>
      <c r="M1" s="2" t="s">
        <v>166</v>
      </c>
      <c r="N1" s="2" t="s">
        <v>167</v>
      </c>
      <c r="O1" s="2" t="s">
        <v>168</v>
      </c>
      <c r="P1" s="2" t="s">
        <v>169</v>
      </c>
      <c r="Q1" s="2" t="s">
        <v>170</v>
      </c>
      <c r="R1" s="2" t="s">
        <v>171</v>
      </c>
      <c r="S1" s="2" t="s">
        <v>172</v>
      </c>
      <c r="T1" s="2" t="s">
        <v>173</v>
      </c>
    </row>
    <row r="2" customFormat="false" ht="15" hidden="false" customHeight="true" outlineLevel="0" collapsed="false">
      <c r="A2" s="3" t="s">
        <v>11</v>
      </c>
      <c r="B2" s="4" t="s">
        <v>12</v>
      </c>
      <c r="C2" s="4" t="s">
        <v>174</v>
      </c>
      <c r="D2" s="7" t="n">
        <v>30007573</v>
      </c>
      <c r="E2" s="7" t="n">
        <v>29973515</v>
      </c>
      <c r="F2" s="4" t="s">
        <v>175</v>
      </c>
      <c r="G2" s="7" t="n">
        <v>3754409</v>
      </c>
      <c r="H2" s="4" t="s">
        <v>176</v>
      </c>
      <c r="I2" s="3"/>
      <c r="J2" s="3" t="s">
        <v>177</v>
      </c>
      <c r="K2" s="3"/>
      <c r="L2" s="3"/>
      <c r="M2" s="3" t="s">
        <v>178</v>
      </c>
      <c r="N2" s="3" t="s">
        <v>179</v>
      </c>
      <c r="O2" s="3" t="s">
        <v>180</v>
      </c>
      <c r="P2" s="3" t="s">
        <v>181</v>
      </c>
      <c r="Q2" s="3" t="s">
        <v>182</v>
      </c>
      <c r="R2" s="3" t="s">
        <v>183</v>
      </c>
      <c r="S2" s="3" t="s">
        <v>183</v>
      </c>
      <c r="T2" s="3"/>
    </row>
    <row r="3" customFormat="false" ht="15" hidden="false" customHeight="true" outlineLevel="0" collapsed="false">
      <c r="A3" s="3" t="s">
        <v>18</v>
      </c>
      <c r="B3" s="4" t="s">
        <v>19</v>
      </c>
      <c r="C3" s="4" t="s">
        <v>174</v>
      </c>
      <c r="D3" s="7" t="n">
        <v>31022696</v>
      </c>
      <c r="E3" s="7" t="n">
        <v>30989756</v>
      </c>
      <c r="F3" s="4" t="s">
        <v>175</v>
      </c>
      <c r="G3" s="7" t="n">
        <v>3900746</v>
      </c>
      <c r="H3" s="4" t="s">
        <v>184</v>
      </c>
      <c r="I3" s="3"/>
      <c r="J3" s="3" t="s">
        <v>177</v>
      </c>
      <c r="K3" s="3"/>
      <c r="L3" s="3"/>
      <c r="M3" s="3" t="s">
        <v>185</v>
      </c>
      <c r="N3" s="3" t="s">
        <v>179</v>
      </c>
      <c r="O3" s="3" t="s">
        <v>180</v>
      </c>
      <c r="P3" s="3" t="s">
        <v>186</v>
      </c>
      <c r="Q3" s="3" t="s">
        <v>187</v>
      </c>
      <c r="R3" s="3" t="s">
        <v>188</v>
      </c>
      <c r="S3" s="3" t="s">
        <v>188</v>
      </c>
      <c r="T3" s="3"/>
    </row>
    <row r="4" customFormat="false" ht="15" hidden="false" customHeight="true" outlineLevel="0" collapsed="false">
      <c r="A4" s="3" t="s">
        <v>22</v>
      </c>
      <c r="B4" s="4" t="s">
        <v>23</v>
      </c>
      <c r="C4" s="4" t="s">
        <v>174</v>
      </c>
      <c r="D4" s="7" t="n">
        <v>33816206</v>
      </c>
      <c r="E4" s="7" t="n">
        <v>33781809</v>
      </c>
      <c r="F4" s="4" t="s">
        <v>189</v>
      </c>
      <c r="G4" s="7" t="n">
        <v>4282871</v>
      </c>
      <c r="H4" s="4" t="s">
        <v>190</v>
      </c>
      <c r="I4" s="3"/>
      <c r="J4" s="3" t="s">
        <v>177</v>
      </c>
      <c r="K4" s="3"/>
      <c r="L4" s="3"/>
      <c r="M4" s="3" t="s">
        <v>191</v>
      </c>
      <c r="N4" s="3" t="s">
        <v>179</v>
      </c>
      <c r="O4" s="3" t="s">
        <v>180</v>
      </c>
      <c r="P4" s="3" t="s">
        <v>192</v>
      </c>
      <c r="Q4" s="3" t="s">
        <v>193</v>
      </c>
      <c r="R4" s="3" t="s">
        <v>188</v>
      </c>
      <c r="S4" s="3" t="s">
        <v>188</v>
      </c>
      <c r="T4" s="3"/>
    </row>
    <row r="5" customFormat="false" ht="15" hidden="false" customHeight="true" outlineLevel="0" collapsed="false">
      <c r="A5" s="3" t="s">
        <v>26</v>
      </c>
      <c r="B5" s="4" t="s">
        <v>27</v>
      </c>
      <c r="C5" s="4" t="s">
        <v>174</v>
      </c>
      <c r="D5" s="7" t="n">
        <v>28880580</v>
      </c>
      <c r="E5" s="7" t="n">
        <v>28850293</v>
      </c>
      <c r="F5" s="4" t="s">
        <v>189</v>
      </c>
      <c r="G5" s="7" t="n">
        <v>3091572</v>
      </c>
      <c r="H5" s="4" t="s">
        <v>194</v>
      </c>
      <c r="I5" s="3"/>
      <c r="J5" s="3" t="s">
        <v>177</v>
      </c>
      <c r="K5" s="3"/>
      <c r="L5" s="3"/>
      <c r="M5" s="3" t="s">
        <v>195</v>
      </c>
      <c r="N5" s="3" t="s">
        <v>179</v>
      </c>
      <c r="O5" s="3" t="s">
        <v>180</v>
      </c>
      <c r="P5" s="3" t="s">
        <v>196</v>
      </c>
      <c r="Q5" s="3" t="s">
        <v>197</v>
      </c>
      <c r="R5" s="3" t="s">
        <v>188</v>
      </c>
      <c r="S5" s="3"/>
      <c r="T5" s="3"/>
    </row>
    <row r="6" customFormat="false" ht="15" hidden="false" customHeight="true" outlineLevel="0" collapsed="false">
      <c r="A6" s="3" t="s">
        <v>30</v>
      </c>
      <c r="B6" s="4" t="s">
        <v>31</v>
      </c>
      <c r="C6" s="4" t="s">
        <v>174</v>
      </c>
      <c r="D6" s="7" t="n">
        <v>27993014</v>
      </c>
      <c r="E6" s="7" t="n">
        <v>27953810</v>
      </c>
      <c r="F6" s="4" t="s">
        <v>198</v>
      </c>
      <c r="G6" s="7" t="n">
        <v>3294642</v>
      </c>
      <c r="H6" s="4" t="s">
        <v>199</v>
      </c>
      <c r="I6" s="3"/>
      <c r="J6" s="3" t="s">
        <v>177</v>
      </c>
      <c r="K6" s="3"/>
      <c r="L6" s="3"/>
      <c r="M6" s="3" t="s">
        <v>200</v>
      </c>
      <c r="N6" s="3" t="s">
        <v>179</v>
      </c>
      <c r="O6" s="3" t="s">
        <v>180</v>
      </c>
      <c r="P6" s="3" t="s">
        <v>201</v>
      </c>
      <c r="Q6" s="3" t="s">
        <v>202</v>
      </c>
      <c r="R6" s="3" t="s">
        <v>183</v>
      </c>
      <c r="S6" s="3"/>
      <c r="T6" s="3"/>
    </row>
    <row r="7" customFormat="false" ht="15" hidden="false" customHeight="true" outlineLevel="0" collapsed="false">
      <c r="A7" s="3" t="s">
        <v>33</v>
      </c>
      <c r="B7" s="4" t="s">
        <v>34</v>
      </c>
      <c r="C7" s="4" t="s">
        <v>174</v>
      </c>
      <c r="D7" s="7" t="n">
        <v>23341221</v>
      </c>
      <c r="E7" s="7" t="n">
        <v>23329278</v>
      </c>
      <c r="F7" s="4" t="s">
        <v>203</v>
      </c>
      <c r="G7" s="7" t="n">
        <v>2438991</v>
      </c>
      <c r="H7" s="4" t="s">
        <v>204</v>
      </c>
      <c r="I7" s="3"/>
      <c r="J7" s="3" t="s">
        <v>177</v>
      </c>
      <c r="K7" s="3"/>
      <c r="L7" s="3"/>
      <c r="M7" s="3" t="s">
        <v>205</v>
      </c>
      <c r="N7" s="3" t="s">
        <v>179</v>
      </c>
      <c r="O7" s="3" t="s">
        <v>180</v>
      </c>
      <c r="P7" s="3" t="s">
        <v>206</v>
      </c>
      <c r="Q7" s="3" t="s">
        <v>207</v>
      </c>
      <c r="R7" s="8" t="s">
        <v>183</v>
      </c>
      <c r="S7" s="8" t="s">
        <v>188</v>
      </c>
      <c r="T7" s="3" t="s">
        <v>208</v>
      </c>
    </row>
    <row r="8" customFormat="false" ht="15" hidden="false" customHeight="true" outlineLevel="0" collapsed="false">
      <c r="A8" s="3" t="s">
        <v>38</v>
      </c>
      <c r="B8" s="4" t="s">
        <v>39</v>
      </c>
      <c r="C8" s="4" t="s">
        <v>174</v>
      </c>
      <c r="D8" s="7" t="n">
        <v>21214720</v>
      </c>
      <c r="E8" s="7" t="n">
        <v>21199197</v>
      </c>
      <c r="F8" s="4" t="s">
        <v>209</v>
      </c>
      <c r="G8" s="7" t="n">
        <v>2192870</v>
      </c>
      <c r="H8" s="4" t="s">
        <v>210</v>
      </c>
      <c r="I8" s="3"/>
      <c r="J8" s="3" t="s">
        <v>177</v>
      </c>
      <c r="K8" s="3"/>
      <c r="L8" s="3"/>
      <c r="M8" s="3" t="s">
        <v>211</v>
      </c>
      <c r="N8" s="3" t="s">
        <v>179</v>
      </c>
      <c r="O8" s="3" t="s">
        <v>180</v>
      </c>
      <c r="P8" s="3" t="s">
        <v>212</v>
      </c>
      <c r="Q8" s="3" t="s">
        <v>213</v>
      </c>
      <c r="R8" s="3" t="s">
        <v>183</v>
      </c>
      <c r="S8" s="3" t="s">
        <v>183</v>
      </c>
      <c r="T8" s="3" t="s">
        <v>214</v>
      </c>
    </row>
    <row r="9" customFormat="false" ht="15" hidden="false" customHeight="true" outlineLevel="0" collapsed="false">
      <c r="A9" s="3" t="s">
        <v>43</v>
      </c>
      <c r="B9" s="4" t="s">
        <v>44</v>
      </c>
      <c r="C9" s="4" t="s">
        <v>174</v>
      </c>
      <c r="D9" s="7" t="n">
        <v>19942860</v>
      </c>
      <c r="E9" s="7" t="n">
        <v>19930417</v>
      </c>
      <c r="F9" s="4" t="s">
        <v>215</v>
      </c>
      <c r="G9" s="7" t="n">
        <v>2149100</v>
      </c>
      <c r="H9" s="4" t="s">
        <v>216</v>
      </c>
      <c r="I9" s="3"/>
      <c r="J9" s="3" t="s">
        <v>177</v>
      </c>
      <c r="K9" s="3"/>
      <c r="L9" s="3"/>
      <c r="M9" s="3" t="s">
        <v>217</v>
      </c>
      <c r="N9" s="3" t="s">
        <v>179</v>
      </c>
      <c r="O9" s="3" t="s">
        <v>180</v>
      </c>
      <c r="P9" s="3" t="s">
        <v>218</v>
      </c>
      <c r="Q9" s="3" t="s">
        <v>219</v>
      </c>
      <c r="R9" s="3" t="s">
        <v>188</v>
      </c>
      <c r="S9" s="3" t="s">
        <v>188</v>
      </c>
      <c r="T9" s="3" t="s">
        <v>214</v>
      </c>
    </row>
    <row r="10" customFormat="false" ht="15" hidden="false" customHeight="true" outlineLevel="0" collapsed="false">
      <c r="A10" s="3" t="s">
        <v>48</v>
      </c>
      <c r="B10" s="4" t="s">
        <v>49</v>
      </c>
      <c r="C10" s="4" t="s">
        <v>174</v>
      </c>
      <c r="D10" s="7" t="n">
        <v>21100707</v>
      </c>
      <c r="E10" s="7" t="n">
        <v>21085329</v>
      </c>
      <c r="F10" s="4" t="s">
        <v>209</v>
      </c>
      <c r="G10" s="7" t="n">
        <v>2211907</v>
      </c>
      <c r="H10" s="4" t="s">
        <v>220</v>
      </c>
      <c r="I10" s="3"/>
      <c r="J10" s="3" t="s">
        <v>177</v>
      </c>
      <c r="K10" s="3"/>
      <c r="L10" s="3"/>
      <c r="M10" s="3" t="s">
        <v>221</v>
      </c>
      <c r="N10" s="3" t="s">
        <v>179</v>
      </c>
      <c r="O10" s="3" t="s">
        <v>180</v>
      </c>
      <c r="P10" s="3" t="s">
        <v>222</v>
      </c>
      <c r="Q10" s="3" t="s">
        <v>223</v>
      </c>
      <c r="R10" s="3" t="s">
        <v>183</v>
      </c>
      <c r="S10" s="3" t="s">
        <v>183</v>
      </c>
      <c r="T10" s="3" t="s">
        <v>224</v>
      </c>
    </row>
    <row r="11" customFormat="false" ht="15" hidden="false" customHeight="true" outlineLevel="0" collapsed="false">
      <c r="A11" s="3" t="s">
        <v>54</v>
      </c>
      <c r="B11" s="4" t="s">
        <v>55</v>
      </c>
      <c r="C11" s="4" t="s">
        <v>174</v>
      </c>
      <c r="D11" s="7" t="n">
        <v>22450266</v>
      </c>
      <c r="E11" s="7" t="n">
        <v>22435337</v>
      </c>
      <c r="F11" s="4" t="s">
        <v>209</v>
      </c>
      <c r="G11" s="7" t="n">
        <v>2277987</v>
      </c>
      <c r="H11" s="4" t="s">
        <v>225</v>
      </c>
      <c r="I11" s="3"/>
      <c r="J11" s="3" t="s">
        <v>177</v>
      </c>
      <c r="K11" s="3"/>
      <c r="L11" s="3"/>
      <c r="M11" s="3" t="s">
        <v>226</v>
      </c>
      <c r="N11" s="3" t="s">
        <v>179</v>
      </c>
      <c r="O11" s="3" t="s">
        <v>180</v>
      </c>
      <c r="P11" s="3" t="s">
        <v>227</v>
      </c>
      <c r="Q11" s="3" t="s">
        <v>228</v>
      </c>
      <c r="R11" s="3" t="s">
        <v>188</v>
      </c>
      <c r="S11" s="3" t="s">
        <v>188</v>
      </c>
      <c r="T11" s="3" t="s">
        <v>214</v>
      </c>
    </row>
    <row r="12" customFormat="false" ht="15" hidden="false" customHeight="true" outlineLevel="0" collapsed="false">
      <c r="A12" s="3" t="s">
        <v>60</v>
      </c>
      <c r="B12" s="4" t="s">
        <v>61</v>
      </c>
      <c r="C12" s="4" t="s">
        <v>174</v>
      </c>
      <c r="D12" s="7" t="n">
        <v>22114618</v>
      </c>
      <c r="E12" s="7" t="n">
        <v>22099396</v>
      </c>
      <c r="F12" s="4" t="s">
        <v>209</v>
      </c>
      <c r="G12" s="7" t="n">
        <v>1934183</v>
      </c>
      <c r="H12" s="4" t="s">
        <v>229</v>
      </c>
      <c r="I12" s="3"/>
      <c r="J12" s="3" t="s">
        <v>177</v>
      </c>
      <c r="K12" s="3"/>
      <c r="L12" s="3"/>
      <c r="M12" s="3" t="s">
        <v>230</v>
      </c>
      <c r="N12" s="3" t="s">
        <v>179</v>
      </c>
      <c r="O12" s="3" t="s">
        <v>180</v>
      </c>
      <c r="P12" s="3" t="s">
        <v>231</v>
      </c>
      <c r="Q12" s="3" t="s">
        <v>232</v>
      </c>
      <c r="R12" s="3" t="s">
        <v>188</v>
      </c>
      <c r="S12" s="3" t="s">
        <v>188</v>
      </c>
      <c r="T12" s="3" t="s">
        <v>214</v>
      </c>
    </row>
    <row r="13" customFormat="false" ht="15" hidden="false" customHeight="true" outlineLevel="0" collapsed="false">
      <c r="A13" s="3" t="s">
        <v>65</v>
      </c>
      <c r="B13" s="4" t="s">
        <v>66</v>
      </c>
      <c r="C13" s="4" t="s">
        <v>174</v>
      </c>
      <c r="D13" s="7" t="n">
        <v>23331237</v>
      </c>
      <c r="E13" s="7" t="n">
        <v>23317597</v>
      </c>
      <c r="F13" s="4" t="s">
        <v>215</v>
      </c>
      <c r="G13" s="7" t="n">
        <v>2481099</v>
      </c>
      <c r="H13" s="4" t="s">
        <v>233</v>
      </c>
      <c r="I13" s="3"/>
      <c r="J13" s="3" t="s">
        <v>177</v>
      </c>
      <c r="K13" s="3"/>
      <c r="L13" s="3"/>
      <c r="M13" s="3" t="s">
        <v>234</v>
      </c>
      <c r="N13" s="3" t="s">
        <v>179</v>
      </c>
      <c r="O13" s="3" t="s">
        <v>180</v>
      </c>
      <c r="P13" s="3" t="s">
        <v>235</v>
      </c>
      <c r="Q13" s="3" t="s">
        <v>236</v>
      </c>
      <c r="R13" s="3" t="s">
        <v>183</v>
      </c>
      <c r="S13" s="3" t="s">
        <v>183</v>
      </c>
      <c r="T13" s="3" t="s">
        <v>214</v>
      </c>
    </row>
    <row r="14" customFormat="false" ht="15" hidden="false" customHeight="true" outlineLevel="0" collapsed="false">
      <c r="A14" s="3" t="s">
        <v>70</v>
      </c>
      <c r="B14" s="4" t="s">
        <v>71</v>
      </c>
      <c r="C14" s="4" t="s">
        <v>174</v>
      </c>
      <c r="D14" s="7" t="n">
        <v>23634201</v>
      </c>
      <c r="E14" s="7" t="n">
        <v>23620582</v>
      </c>
      <c r="F14" s="4" t="s">
        <v>215</v>
      </c>
      <c r="G14" s="7" t="n">
        <v>2355309</v>
      </c>
      <c r="H14" s="4" t="s">
        <v>237</v>
      </c>
      <c r="I14" s="3"/>
      <c r="J14" s="3" t="s">
        <v>177</v>
      </c>
      <c r="K14" s="3"/>
      <c r="L14" s="3"/>
      <c r="M14" s="3" t="s">
        <v>238</v>
      </c>
      <c r="N14" s="3" t="s">
        <v>179</v>
      </c>
      <c r="O14" s="3" t="s">
        <v>180</v>
      </c>
      <c r="P14" s="3" t="s">
        <v>239</v>
      </c>
      <c r="Q14" s="3" t="s">
        <v>240</v>
      </c>
      <c r="R14" s="3" t="s">
        <v>188</v>
      </c>
      <c r="S14" s="3" t="s">
        <v>188</v>
      </c>
      <c r="T14" s="3" t="s">
        <v>214</v>
      </c>
    </row>
    <row r="15" customFormat="false" ht="15" hidden="false" customHeight="true" outlineLevel="0" collapsed="false">
      <c r="A15" s="3" t="s">
        <v>75</v>
      </c>
      <c r="B15" s="4" t="s">
        <v>76</v>
      </c>
      <c r="C15" s="4" t="s">
        <v>174</v>
      </c>
      <c r="D15" s="7" t="n">
        <v>20966257</v>
      </c>
      <c r="E15" s="7" t="n">
        <v>20948864</v>
      </c>
      <c r="F15" s="4" t="s">
        <v>241</v>
      </c>
      <c r="G15" s="7" t="n">
        <v>2149400</v>
      </c>
      <c r="H15" s="4" t="s">
        <v>242</v>
      </c>
      <c r="I15" s="3"/>
      <c r="J15" s="3" t="s">
        <v>177</v>
      </c>
      <c r="K15" s="3"/>
      <c r="L15" s="3"/>
      <c r="M15" s="3" t="s">
        <v>243</v>
      </c>
      <c r="N15" s="3" t="s">
        <v>179</v>
      </c>
      <c r="O15" s="3" t="s">
        <v>180</v>
      </c>
      <c r="P15" s="3" t="s">
        <v>244</v>
      </c>
      <c r="Q15" s="3" t="s">
        <v>245</v>
      </c>
      <c r="R15" s="3" t="s">
        <v>188</v>
      </c>
      <c r="S15" s="3" t="s">
        <v>188</v>
      </c>
      <c r="T15" s="3" t="s">
        <v>214</v>
      </c>
    </row>
    <row r="16" customFormat="false" ht="15" hidden="false" customHeight="true" outlineLevel="0" collapsed="false">
      <c r="A16" s="3" t="s">
        <v>80</v>
      </c>
      <c r="B16" s="4" t="s">
        <v>81</v>
      </c>
      <c r="C16" s="4" t="s">
        <v>174</v>
      </c>
      <c r="D16" s="7" t="n">
        <v>20147398</v>
      </c>
      <c r="E16" s="7" t="n">
        <v>20131222</v>
      </c>
      <c r="F16" s="4" t="s">
        <v>241</v>
      </c>
      <c r="G16" s="7" t="n">
        <v>1798492</v>
      </c>
      <c r="H16" s="4" t="s">
        <v>246</v>
      </c>
      <c r="I16" s="3"/>
      <c r="J16" s="3" t="s">
        <v>177</v>
      </c>
      <c r="K16" s="3"/>
      <c r="L16" s="3"/>
      <c r="M16" s="3" t="s">
        <v>247</v>
      </c>
      <c r="N16" s="3" t="s">
        <v>179</v>
      </c>
      <c r="O16" s="3" t="s">
        <v>180</v>
      </c>
      <c r="P16" s="3" t="s">
        <v>248</v>
      </c>
      <c r="Q16" s="3" t="s">
        <v>249</v>
      </c>
      <c r="R16" s="3" t="s">
        <v>183</v>
      </c>
      <c r="S16" s="3" t="s">
        <v>183</v>
      </c>
      <c r="T16" s="3" t="s">
        <v>214</v>
      </c>
    </row>
    <row r="17" customFormat="false" ht="15" hidden="false" customHeight="true" outlineLevel="0" collapsed="false">
      <c r="A17" s="3" t="s">
        <v>85</v>
      </c>
      <c r="B17" s="4" t="s">
        <v>86</v>
      </c>
      <c r="C17" s="4" t="s">
        <v>174</v>
      </c>
      <c r="D17" s="7" t="n">
        <v>20249477</v>
      </c>
      <c r="E17" s="7" t="n">
        <v>20237879</v>
      </c>
      <c r="F17" s="4" t="s">
        <v>215</v>
      </c>
      <c r="G17" s="7" t="n">
        <v>3089191</v>
      </c>
      <c r="H17" s="4" t="s">
        <v>250</v>
      </c>
      <c r="I17" s="3"/>
      <c r="J17" s="3" t="s">
        <v>177</v>
      </c>
      <c r="K17" s="3"/>
      <c r="L17" s="3"/>
      <c r="M17" s="3" t="s">
        <v>251</v>
      </c>
      <c r="N17" s="3" t="s">
        <v>179</v>
      </c>
      <c r="O17" s="3" t="s">
        <v>180</v>
      </c>
      <c r="P17" s="3" t="s">
        <v>252</v>
      </c>
      <c r="Q17" s="3" t="s">
        <v>253</v>
      </c>
      <c r="R17" s="8" t="s">
        <v>188</v>
      </c>
      <c r="S17" s="8" t="s">
        <v>183</v>
      </c>
      <c r="T17" s="3" t="s">
        <v>254</v>
      </c>
    </row>
    <row r="18" customFormat="false" ht="15" hidden="false" customHeight="true" outlineLevel="0" collapsed="false">
      <c r="A18" s="3" t="s">
        <v>90</v>
      </c>
      <c r="B18" s="4" t="s">
        <v>91</v>
      </c>
      <c r="C18" s="4" t="s">
        <v>174</v>
      </c>
      <c r="D18" s="7" t="n">
        <v>21180410</v>
      </c>
      <c r="E18" s="7" t="n">
        <v>21162648</v>
      </c>
      <c r="F18" s="4" t="s">
        <v>241</v>
      </c>
      <c r="G18" s="7" t="n">
        <v>2156995</v>
      </c>
      <c r="H18" s="4" t="s">
        <v>255</v>
      </c>
      <c r="I18" s="3"/>
      <c r="J18" s="3" t="s">
        <v>177</v>
      </c>
      <c r="K18" s="3"/>
      <c r="L18" s="3"/>
      <c r="M18" s="3" t="s">
        <v>256</v>
      </c>
      <c r="N18" s="3" t="s">
        <v>179</v>
      </c>
      <c r="O18" s="3" t="s">
        <v>180</v>
      </c>
      <c r="P18" s="3" t="s">
        <v>257</v>
      </c>
      <c r="Q18" s="3" t="s">
        <v>258</v>
      </c>
      <c r="R18" s="3" t="s">
        <v>183</v>
      </c>
      <c r="S18" s="3" t="s">
        <v>183</v>
      </c>
      <c r="T18" s="3" t="s">
        <v>214</v>
      </c>
    </row>
    <row r="19" customFormat="false" ht="15" hidden="false" customHeight="true" outlineLevel="0" collapsed="false">
      <c r="A19" s="3" t="s">
        <v>95</v>
      </c>
      <c r="B19" s="4" t="s">
        <v>96</v>
      </c>
      <c r="C19" s="4" t="s">
        <v>174</v>
      </c>
      <c r="D19" s="7" t="n">
        <v>24152034</v>
      </c>
      <c r="E19" s="7" t="n">
        <v>24133280</v>
      </c>
      <c r="F19" s="4" t="s">
        <v>241</v>
      </c>
      <c r="G19" s="7" t="n">
        <v>2717653</v>
      </c>
      <c r="H19" s="4" t="s">
        <v>259</v>
      </c>
      <c r="I19" s="3"/>
      <c r="J19" s="3" t="s">
        <v>177</v>
      </c>
      <c r="K19" s="3"/>
      <c r="L19" s="3"/>
      <c r="M19" s="3" t="s">
        <v>260</v>
      </c>
      <c r="N19" s="3" t="s">
        <v>179</v>
      </c>
      <c r="O19" s="3" t="s">
        <v>180</v>
      </c>
      <c r="P19" s="3" t="s">
        <v>222</v>
      </c>
      <c r="Q19" s="3" t="s">
        <v>261</v>
      </c>
      <c r="R19" s="3" t="s">
        <v>183</v>
      </c>
      <c r="S19" s="3" t="s">
        <v>183</v>
      </c>
      <c r="T19" s="3" t="s">
        <v>214</v>
      </c>
    </row>
    <row r="20" customFormat="false" ht="15" hidden="false" customHeight="true" outlineLevel="0" collapsed="false">
      <c r="A20" s="3" t="s">
        <v>100</v>
      </c>
      <c r="B20" s="4" t="s">
        <v>101</v>
      </c>
      <c r="C20" s="4" t="s">
        <v>174</v>
      </c>
      <c r="D20" s="7" t="n">
        <v>20113255</v>
      </c>
      <c r="E20" s="7" t="n">
        <v>20099066</v>
      </c>
      <c r="F20" s="4" t="s">
        <v>209</v>
      </c>
      <c r="G20" s="7" t="n">
        <v>2342649</v>
      </c>
      <c r="H20" s="4" t="s">
        <v>262</v>
      </c>
      <c r="I20" s="3"/>
      <c r="J20" s="3" t="s">
        <v>177</v>
      </c>
      <c r="K20" s="3"/>
      <c r="L20" s="3"/>
      <c r="M20" s="3" t="s">
        <v>263</v>
      </c>
      <c r="N20" s="3" t="s">
        <v>179</v>
      </c>
      <c r="O20" s="3" t="s">
        <v>180</v>
      </c>
      <c r="P20" s="3" t="s">
        <v>264</v>
      </c>
      <c r="Q20" s="3" t="s">
        <v>265</v>
      </c>
      <c r="R20" s="3" t="s">
        <v>188</v>
      </c>
      <c r="S20" s="3" t="s">
        <v>188</v>
      </c>
      <c r="T20" s="3" t="s">
        <v>214</v>
      </c>
    </row>
    <row r="21" customFormat="false" ht="15" hidden="false" customHeight="true" outlineLevel="0" collapsed="false">
      <c r="A21" s="3" t="s">
        <v>105</v>
      </c>
      <c r="B21" s="4" t="s">
        <v>106</v>
      </c>
      <c r="C21" s="4" t="s">
        <v>174</v>
      </c>
      <c r="D21" s="7" t="n">
        <v>25263442</v>
      </c>
      <c r="E21" s="7" t="n">
        <v>25246710</v>
      </c>
      <c r="F21" s="4" t="s">
        <v>209</v>
      </c>
      <c r="G21" s="7" t="n">
        <v>3211865</v>
      </c>
      <c r="H21" s="4" t="s">
        <v>266</v>
      </c>
      <c r="I21" s="3"/>
      <c r="J21" s="3" t="s">
        <v>177</v>
      </c>
      <c r="K21" s="3"/>
      <c r="L21" s="3"/>
      <c r="M21" s="3" t="s">
        <v>267</v>
      </c>
      <c r="N21" s="3" t="s">
        <v>179</v>
      </c>
      <c r="O21" s="3" t="s">
        <v>180</v>
      </c>
      <c r="P21" s="3" t="s">
        <v>268</v>
      </c>
      <c r="Q21" s="3" t="s">
        <v>269</v>
      </c>
      <c r="R21" s="3" t="s">
        <v>188</v>
      </c>
      <c r="S21" s="3" t="s">
        <v>188</v>
      </c>
      <c r="T21" s="3" t="s">
        <v>214</v>
      </c>
    </row>
    <row r="22" customFormat="false" ht="15" hidden="false" customHeight="true" outlineLevel="0" collapsed="false">
      <c r="A22" s="3" t="s">
        <v>110</v>
      </c>
      <c r="B22" s="4" t="s">
        <v>111</v>
      </c>
      <c r="C22" s="4" t="s">
        <v>174</v>
      </c>
      <c r="D22" s="7" t="n">
        <v>21452683</v>
      </c>
      <c r="E22" s="7" t="n">
        <v>21435978</v>
      </c>
      <c r="F22" s="4" t="s">
        <v>241</v>
      </c>
      <c r="G22" s="7" t="n">
        <v>2416768</v>
      </c>
      <c r="H22" s="4" t="s">
        <v>270</v>
      </c>
      <c r="I22" s="3"/>
      <c r="J22" s="3" t="s">
        <v>177</v>
      </c>
      <c r="K22" s="3"/>
      <c r="L22" s="3"/>
      <c r="M22" s="3" t="s">
        <v>243</v>
      </c>
      <c r="N22" s="3" t="s">
        <v>179</v>
      </c>
      <c r="O22" s="3" t="s">
        <v>180</v>
      </c>
      <c r="P22" s="3" t="s">
        <v>271</v>
      </c>
      <c r="Q22" s="3" t="s">
        <v>272</v>
      </c>
      <c r="R22" s="3" t="s">
        <v>183</v>
      </c>
      <c r="S22" s="3" t="s">
        <v>183</v>
      </c>
      <c r="T22" s="3" t="s">
        <v>214</v>
      </c>
    </row>
    <row r="23" customFormat="false" ht="15" hidden="false" customHeight="true" outlineLevel="0" collapsed="false">
      <c r="A23" s="3" t="s">
        <v>115</v>
      </c>
      <c r="B23" s="4" t="s">
        <v>116</v>
      </c>
      <c r="C23" s="4" t="s">
        <v>174</v>
      </c>
      <c r="D23" s="7" t="n">
        <v>24812836</v>
      </c>
      <c r="E23" s="7" t="n">
        <v>24788902</v>
      </c>
      <c r="F23" s="4" t="s">
        <v>189</v>
      </c>
      <c r="G23" s="7" t="n">
        <v>0</v>
      </c>
      <c r="H23" s="4" t="s">
        <v>273</v>
      </c>
      <c r="I23" s="3"/>
      <c r="J23" s="3" t="s">
        <v>177</v>
      </c>
      <c r="K23" s="3"/>
      <c r="L23" s="3"/>
      <c r="M23" s="3" t="s">
        <v>274</v>
      </c>
      <c r="N23" s="3" t="s">
        <v>275</v>
      </c>
      <c r="O23" s="3" t="s">
        <v>275</v>
      </c>
      <c r="P23" s="3" t="s">
        <v>276</v>
      </c>
      <c r="Q23" s="3" t="s">
        <v>277</v>
      </c>
      <c r="R23" s="3" t="s">
        <v>183</v>
      </c>
      <c r="S23" s="3" t="s">
        <v>183</v>
      </c>
      <c r="T23" s="3"/>
    </row>
    <row r="24" customFormat="false" ht="15" hidden="false" customHeight="true" outlineLevel="0" collapsed="false">
      <c r="A24" s="3" t="s">
        <v>118</v>
      </c>
      <c r="B24" s="4" t="s">
        <v>119</v>
      </c>
      <c r="C24" s="4" t="s">
        <v>174</v>
      </c>
      <c r="D24" s="7" t="n">
        <v>25777613</v>
      </c>
      <c r="E24" s="7" t="n">
        <v>25757022</v>
      </c>
      <c r="F24" s="4" t="s">
        <v>241</v>
      </c>
      <c r="G24" s="7" t="n">
        <v>0</v>
      </c>
      <c r="H24" s="4" t="s">
        <v>273</v>
      </c>
      <c r="I24" s="3"/>
      <c r="J24" s="3" t="s">
        <v>177</v>
      </c>
      <c r="K24" s="3"/>
      <c r="L24" s="3"/>
      <c r="M24" s="3" t="s">
        <v>274</v>
      </c>
      <c r="N24" s="3" t="s">
        <v>275</v>
      </c>
      <c r="O24" s="3" t="s">
        <v>275</v>
      </c>
      <c r="P24" s="3" t="s">
        <v>278</v>
      </c>
      <c r="Q24" s="3" t="s">
        <v>279</v>
      </c>
      <c r="R24" s="3" t="s">
        <v>183</v>
      </c>
      <c r="S24" s="3" t="s">
        <v>183</v>
      </c>
      <c r="T24" s="3"/>
    </row>
    <row r="25" customFormat="false" ht="15" hidden="false" customHeight="true" outlineLevel="0" collapsed="false">
      <c r="A25" s="3" t="s">
        <v>121</v>
      </c>
      <c r="B25" s="4" t="s">
        <v>122</v>
      </c>
      <c r="C25" s="4" t="s">
        <v>174</v>
      </c>
      <c r="D25" s="7" t="n">
        <v>23441384</v>
      </c>
      <c r="E25" s="7" t="n">
        <v>23416051</v>
      </c>
      <c r="F25" s="4" t="s">
        <v>175</v>
      </c>
      <c r="G25" s="7" t="n">
        <v>0</v>
      </c>
      <c r="H25" s="4" t="s">
        <v>273</v>
      </c>
      <c r="I25" s="3"/>
      <c r="J25" s="3" t="s">
        <v>177</v>
      </c>
      <c r="K25" s="3"/>
      <c r="L25" s="3"/>
      <c r="M25" s="3" t="s">
        <v>274</v>
      </c>
      <c r="N25" s="3" t="s">
        <v>275</v>
      </c>
      <c r="O25" s="3" t="s">
        <v>275</v>
      </c>
      <c r="P25" s="3" t="s">
        <v>280</v>
      </c>
      <c r="Q25" s="3" t="s">
        <v>281</v>
      </c>
      <c r="R25" s="3" t="s">
        <v>183</v>
      </c>
      <c r="S25" s="3" t="s">
        <v>183</v>
      </c>
      <c r="T25" s="3"/>
    </row>
    <row r="26" customFormat="false" ht="15" hidden="false" customHeight="true" outlineLevel="0" collapsed="false">
      <c r="A26" s="3" t="s">
        <v>124</v>
      </c>
      <c r="B26" s="4" t="s">
        <v>125</v>
      </c>
      <c r="C26" s="4" t="s">
        <v>174</v>
      </c>
      <c r="D26" s="7" t="n">
        <v>26727813</v>
      </c>
      <c r="E26" s="7" t="n">
        <v>26700517</v>
      </c>
      <c r="F26" s="4" t="s">
        <v>189</v>
      </c>
      <c r="G26" s="7" t="n">
        <v>0</v>
      </c>
      <c r="H26" s="4" t="s">
        <v>273</v>
      </c>
      <c r="I26" s="3"/>
      <c r="J26" s="3" t="s">
        <v>177</v>
      </c>
      <c r="K26" s="3"/>
      <c r="L26" s="3"/>
      <c r="M26" s="3" t="s">
        <v>274</v>
      </c>
      <c r="N26" s="3" t="s">
        <v>275</v>
      </c>
      <c r="O26" s="3" t="s">
        <v>275</v>
      </c>
      <c r="P26" s="3" t="s">
        <v>282</v>
      </c>
      <c r="Q26" s="3" t="s">
        <v>283</v>
      </c>
      <c r="R26" s="3" t="s">
        <v>188</v>
      </c>
      <c r="S26" s="3" t="s">
        <v>188</v>
      </c>
      <c r="T26" s="3"/>
    </row>
    <row r="27" customFormat="false" ht="15" hidden="false" customHeight="true" outlineLevel="0" collapsed="false">
      <c r="A27" s="3" t="s">
        <v>128</v>
      </c>
      <c r="B27" s="4" t="s">
        <v>129</v>
      </c>
      <c r="C27" s="4" t="s">
        <v>174</v>
      </c>
      <c r="D27" s="7" t="n">
        <v>23185841</v>
      </c>
      <c r="E27" s="7" t="n">
        <v>23158732</v>
      </c>
      <c r="F27" s="4" t="s">
        <v>284</v>
      </c>
      <c r="G27" s="7" t="n">
        <v>0</v>
      </c>
      <c r="H27" s="4" t="s">
        <v>273</v>
      </c>
      <c r="I27" s="3"/>
      <c r="J27" s="3" t="s">
        <v>177</v>
      </c>
      <c r="K27" s="3"/>
      <c r="L27" s="3"/>
      <c r="M27" s="3" t="s">
        <v>274</v>
      </c>
      <c r="N27" s="3" t="s">
        <v>275</v>
      </c>
      <c r="O27" s="3" t="s">
        <v>275</v>
      </c>
      <c r="P27" s="3" t="s">
        <v>285</v>
      </c>
      <c r="Q27" s="3" t="s">
        <v>286</v>
      </c>
      <c r="R27" s="3" t="s">
        <v>183</v>
      </c>
      <c r="S27" s="3" t="s">
        <v>183</v>
      </c>
      <c r="T27" s="3" t="s">
        <v>287</v>
      </c>
    </row>
    <row r="28" customFormat="false" ht="15" hidden="false" customHeight="true" outlineLevel="0" collapsed="false">
      <c r="A28" s="3" t="s">
        <v>131</v>
      </c>
      <c r="B28" s="4" t="s">
        <v>132</v>
      </c>
      <c r="C28" s="4" t="s">
        <v>174</v>
      </c>
      <c r="D28" s="7" t="n">
        <v>31417067</v>
      </c>
      <c r="E28" s="7" t="n">
        <v>31395810</v>
      </c>
      <c r="F28" s="4" t="s">
        <v>209</v>
      </c>
      <c r="G28" s="7" t="n">
        <v>0</v>
      </c>
      <c r="H28" s="4" t="s">
        <v>273</v>
      </c>
      <c r="I28" s="3"/>
      <c r="J28" s="3" t="s">
        <v>177</v>
      </c>
      <c r="K28" s="3"/>
      <c r="L28" s="3"/>
      <c r="M28" s="3" t="s">
        <v>288</v>
      </c>
      <c r="N28" s="3" t="s">
        <v>275</v>
      </c>
      <c r="O28" s="3" t="s">
        <v>275</v>
      </c>
      <c r="P28" s="3" t="s">
        <v>289</v>
      </c>
      <c r="Q28" s="3" t="s">
        <v>290</v>
      </c>
      <c r="R28" s="3" t="s">
        <v>183</v>
      </c>
      <c r="S28" s="3" t="s">
        <v>183</v>
      </c>
      <c r="T28" s="3" t="s">
        <v>291</v>
      </c>
    </row>
    <row r="29" customFormat="false" ht="15" hidden="false" customHeight="true" outlineLevel="0" collapsed="false">
      <c r="A29" s="3" t="s">
        <v>134</v>
      </c>
      <c r="B29" s="4" t="s">
        <v>135</v>
      </c>
      <c r="C29" s="4" t="s">
        <v>174</v>
      </c>
      <c r="D29" s="7" t="n">
        <v>37772420</v>
      </c>
      <c r="E29" s="7" t="n">
        <v>37742429</v>
      </c>
      <c r="F29" s="4" t="s">
        <v>241</v>
      </c>
      <c r="G29" s="7" t="n">
        <v>0</v>
      </c>
      <c r="H29" s="4" t="s">
        <v>273</v>
      </c>
      <c r="I29" s="3"/>
      <c r="J29" s="3" t="s">
        <v>177</v>
      </c>
      <c r="K29" s="3"/>
      <c r="L29" s="3"/>
      <c r="M29" s="3" t="s">
        <v>292</v>
      </c>
      <c r="N29" s="3" t="s">
        <v>275</v>
      </c>
      <c r="O29" s="3" t="s">
        <v>275</v>
      </c>
      <c r="P29" s="3" t="s">
        <v>293</v>
      </c>
      <c r="Q29" s="3" t="s">
        <v>294</v>
      </c>
      <c r="R29" s="3" t="s">
        <v>188</v>
      </c>
      <c r="S29" s="3" t="s">
        <v>188</v>
      </c>
      <c r="T29" s="3" t="s">
        <v>295</v>
      </c>
    </row>
    <row r="30" customFormat="false" ht="15" hidden="false" customHeight="true" outlineLevel="0" collapsed="false">
      <c r="A30" s="3" t="s">
        <v>137</v>
      </c>
      <c r="B30" s="4" t="s">
        <v>138</v>
      </c>
      <c r="C30" s="4" t="s">
        <v>174</v>
      </c>
      <c r="D30" s="7" t="n">
        <v>33979291</v>
      </c>
      <c r="E30" s="7" t="n">
        <v>33956341</v>
      </c>
      <c r="F30" s="4" t="s">
        <v>209</v>
      </c>
      <c r="G30" s="7" t="n">
        <v>0</v>
      </c>
      <c r="H30" s="4" t="s">
        <v>273</v>
      </c>
      <c r="I30" s="3"/>
      <c r="J30" s="3" t="s">
        <v>177</v>
      </c>
      <c r="K30" s="3"/>
      <c r="L30" s="3"/>
      <c r="M30" s="3" t="s">
        <v>296</v>
      </c>
      <c r="N30" s="3" t="s">
        <v>275</v>
      </c>
      <c r="O30" s="3" t="s">
        <v>275</v>
      </c>
      <c r="P30" s="3" t="s">
        <v>297</v>
      </c>
      <c r="Q30" s="3" t="s">
        <v>298</v>
      </c>
      <c r="R30" s="3" t="s">
        <v>188</v>
      </c>
      <c r="S30" s="3" t="s">
        <v>188</v>
      </c>
      <c r="T30" s="3" t="s">
        <v>299</v>
      </c>
    </row>
    <row r="31" customFormat="false" ht="15" hidden="false" customHeight="true" outlineLevel="0" collapsed="false">
      <c r="A31" s="3" t="s">
        <v>140</v>
      </c>
      <c r="B31" s="4" t="s">
        <v>141</v>
      </c>
      <c r="C31" s="4" t="s">
        <v>174</v>
      </c>
      <c r="D31" s="7" t="n">
        <v>33019893</v>
      </c>
      <c r="E31" s="7" t="n">
        <v>32997791</v>
      </c>
      <c r="F31" s="4" t="s">
        <v>209</v>
      </c>
      <c r="G31" s="7" t="n">
        <v>0</v>
      </c>
      <c r="H31" s="4" t="s">
        <v>273</v>
      </c>
      <c r="I31" s="3"/>
      <c r="J31" s="3" t="s">
        <v>177</v>
      </c>
      <c r="K31" s="3"/>
      <c r="L31" s="3"/>
      <c r="M31" s="3" t="s">
        <v>300</v>
      </c>
      <c r="N31" s="3" t="s">
        <v>275</v>
      </c>
      <c r="O31" s="3" t="s">
        <v>275</v>
      </c>
      <c r="P31" s="3" t="s">
        <v>301</v>
      </c>
      <c r="Q31" s="3" t="s">
        <v>302</v>
      </c>
      <c r="R31" s="3" t="s">
        <v>188</v>
      </c>
      <c r="S31" s="3" t="s">
        <v>188</v>
      </c>
      <c r="T31" s="3" t="s">
        <v>303</v>
      </c>
    </row>
    <row r="32" customFormat="false" ht="15" hidden="false" customHeight="true" outlineLevel="0" collapsed="false">
      <c r="A32" s="3" t="s">
        <v>144</v>
      </c>
      <c r="B32" s="4" t="s">
        <v>145</v>
      </c>
      <c r="C32" s="4" t="s">
        <v>174</v>
      </c>
      <c r="D32" s="7" t="n">
        <v>30708479</v>
      </c>
      <c r="E32" s="7" t="n">
        <v>30685391</v>
      </c>
      <c r="F32" s="4" t="s">
        <v>241</v>
      </c>
      <c r="G32" s="7" t="n">
        <v>0</v>
      </c>
      <c r="H32" s="4" t="s">
        <v>273</v>
      </c>
      <c r="I32" s="3"/>
      <c r="J32" s="3" t="s">
        <v>177</v>
      </c>
      <c r="K32" s="3"/>
      <c r="L32" s="3"/>
      <c r="M32" s="3" t="s">
        <v>304</v>
      </c>
      <c r="N32" s="3" t="s">
        <v>275</v>
      </c>
      <c r="O32" s="3" t="s">
        <v>275</v>
      </c>
      <c r="P32" s="3" t="s">
        <v>305</v>
      </c>
      <c r="Q32" s="3" t="s">
        <v>306</v>
      </c>
      <c r="R32" s="8" t="s">
        <v>183</v>
      </c>
      <c r="S32" s="3"/>
      <c r="T32" s="3" t="s">
        <v>307</v>
      </c>
    </row>
    <row r="33" customFormat="false" ht="15" hidden="false" customHeight="true" outlineLevel="0" collapsed="false">
      <c r="A33" s="3" t="s">
        <v>147</v>
      </c>
      <c r="B33" s="4" t="s">
        <v>148</v>
      </c>
      <c r="C33" s="4" t="s">
        <v>174</v>
      </c>
      <c r="D33" s="7" t="n">
        <v>35861737</v>
      </c>
      <c r="E33" s="7" t="n">
        <v>35829932</v>
      </c>
      <c r="F33" s="4" t="s">
        <v>308</v>
      </c>
      <c r="G33" s="7" t="n">
        <v>0</v>
      </c>
      <c r="H33" s="4" t="s">
        <v>273</v>
      </c>
      <c r="I33" s="3"/>
      <c r="J33" s="3" t="s">
        <v>177</v>
      </c>
      <c r="K33" s="3"/>
      <c r="L33" s="3"/>
      <c r="M33" s="3" t="s">
        <v>309</v>
      </c>
      <c r="N33" s="3" t="s">
        <v>275</v>
      </c>
      <c r="O33" s="3" t="s">
        <v>275</v>
      </c>
      <c r="P33" s="3" t="s">
        <v>310</v>
      </c>
      <c r="Q33" s="3" t="s">
        <v>311</v>
      </c>
      <c r="R33" s="3" t="s">
        <v>183</v>
      </c>
      <c r="S33" s="3" t="s">
        <v>183</v>
      </c>
      <c r="T33" s="3" t="s">
        <v>312</v>
      </c>
    </row>
    <row r="34" customFormat="false" ht="15" hidden="false" customHeight="true" outlineLevel="0" collapsed="false">
      <c r="A34" s="3" t="s">
        <v>150</v>
      </c>
      <c r="B34" s="4" t="s">
        <v>151</v>
      </c>
      <c r="C34" s="4" t="s">
        <v>174</v>
      </c>
      <c r="D34" s="7" t="n">
        <v>31603742</v>
      </c>
      <c r="E34" s="7" t="n">
        <v>31578421</v>
      </c>
      <c r="F34" s="4" t="s">
        <v>241</v>
      </c>
      <c r="G34" s="7" t="n">
        <v>0</v>
      </c>
      <c r="H34" s="4" t="s">
        <v>273</v>
      </c>
      <c r="I34" s="3"/>
      <c r="J34" s="3" t="s">
        <v>177</v>
      </c>
      <c r="K34" s="3"/>
      <c r="L34" s="3"/>
      <c r="M34" s="3" t="s">
        <v>313</v>
      </c>
      <c r="N34" s="3" t="s">
        <v>275</v>
      </c>
      <c r="O34" s="3" t="s">
        <v>275</v>
      </c>
      <c r="P34" s="3" t="s">
        <v>239</v>
      </c>
      <c r="Q34" s="3" t="s">
        <v>314</v>
      </c>
      <c r="R34" s="3" t="s">
        <v>183</v>
      </c>
      <c r="S34" s="3" t="s">
        <v>183</v>
      </c>
      <c r="T34" s="3" t="s">
        <v>315</v>
      </c>
    </row>
    <row r="35" customFormat="false" ht="15" hidden="false" customHeight="true" outlineLevel="0" collapsed="false">
      <c r="A35" s="3" t="s">
        <v>153</v>
      </c>
      <c r="B35" s="4" t="s">
        <v>154</v>
      </c>
      <c r="C35" s="4" t="s">
        <v>174</v>
      </c>
      <c r="D35" s="7" t="n">
        <v>33741119</v>
      </c>
      <c r="E35" s="7" t="n">
        <v>33703139</v>
      </c>
      <c r="F35" s="4" t="s">
        <v>175</v>
      </c>
      <c r="G35" s="7" t="n">
        <v>0</v>
      </c>
      <c r="H35" s="4" t="s">
        <v>273</v>
      </c>
      <c r="I35" s="3"/>
      <c r="J35" s="3" t="s">
        <v>177</v>
      </c>
      <c r="K35" s="3"/>
      <c r="L35" s="3"/>
      <c r="M35" s="3" t="s">
        <v>316</v>
      </c>
      <c r="N35" s="3" t="s">
        <v>275</v>
      </c>
      <c r="O35" s="3" t="s">
        <v>275</v>
      </c>
      <c r="P35" s="3" t="s">
        <v>317</v>
      </c>
      <c r="Q35" s="3" t="s">
        <v>318</v>
      </c>
      <c r="R35" s="3" t="s">
        <v>188</v>
      </c>
      <c r="S35" s="3" t="s">
        <v>188</v>
      </c>
      <c r="T35" s="3" t="s">
        <v>307</v>
      </c>
    </row>
    <row r="36" customFormat="false" ht="15" hidden="false" customHeight="true" outlineLevel="0" collapsed="false">
      <c r="A36" s="3" t="s">
        <v>36</v>
      </c>
      <c r="B36" s="4" t="s">
        <v>34</v>
      </c>
      <c r="C36" s="4" t="s">
        <v>319</v>
      </c>
      <c r="D36" s="7" t="n">
        <v>11925514</v>
      </c>
      <c r="E36" s="4"/>
      <c r="F36" s="9" t="n">
        <v>0.9995</v>
      </c>
      <c r="G36" s="7" t="n">
        <v>1034154</v>
      </c>
      <c r="H36" s="9" t="n">
        <v>0.0886</v>
      </c>
      <c r="I36" s="5" t="n">
        <v>0.9743</v>
      </c>
      <c r="J36" s="3"/>
      <c r="K36" s="3" t="n">
        <v>91.4</v>
      </c>
      <c r="L36" s="3" t="n">
        <v>34.1</v>
      </c>
      <c r="M36" s="3"/>
      <c r="N36" s="3" t="s">
        <v>320</v>
      </c>
      <c r="O36" s="3" t="s">
        <v>180</v>
      </c>
      <c r="P36" s="3"/>
      <c r="Q36" s="3"/>
      <c r="R36" s="3"/>
      <c r="S36" s="3" t="s">
        <v>188</v>
      </c>
      <c r="T36" s="3" t="s">
        <v>321</v>
      </c>
    </row>
    <row r="37" customFormat="false" ht="15" hidden="false" customHeight="true" outlineLevel="0" collapsed="false">
      <c r="A37" s="3" t="s">
        <v>41</v>
      </c>
      <c r="B37" s="4" t="s">
        <v>39</v>
      </c>
      <c r="C37" s="4" t="s">
        <v>319</v>
      </c>
      <c r="D37" s="7" t="n">
        <v>11915848</v>
      </c>
      <c r="E37" s="4"/>
      <c r="F37" s="9" t="n">
        <v>0.9997</v>
      </c>
      <c r="G37" s="7" t="n">
        <v>1141216</v>
      </c>
      <c r="H37" s="9" t="n">
        <v>0.0981</v>
      </c>
      <c r="I37" s="5" t="n">
        <v>0.9604</v>
      </c>
      <c r="J37" s="3"/>
      <c r="K37" s="3" t="n">
        <v>84</v>
      </c>
      <c r="L37" s="3" t="n">
        <v>30.6</v>
      </c>
      <c r="M37" s="3"/>
      <c r="N37" s="3" t="s">
        <v>320</v>
      </c>
      <c r="O37" s="3" t="s">
        <v>180</v>
      </c>
      <c r="P37" s="3"/>
      <c r="Q37" s="3"/>
      <c r="R37" s="3"/>
      <c r="S37" s="3" t="s">
        <v>183</v>
      </c>
      <c r="T37" s="3" t="s">
        <v>321</v>
      </c>
    </row>
    <row r="38" customFormat="false" ht="15" hidden="false" customHeight="true" outlineLevel="0" collapsed="false">
      <c r="A38" s="3" t="s">
        <v>46</v>
      </c>
      <c r="B38" s="4" t="s">
        <v>44</v>
      </c>
      <c r="C38" s="4" t="s">
        <v>319</v>
      </c>
      <c r="D38" s="7" t="n">
        <v>10179247</v>
      </c>
      <c r="E38" s="4"/>
      <c r="F38" s="9" t="n">
        <v>0.9997</v>
      </c>
      <c r="G38" s="7" t="n">
        <v>814582</v>
      </c>
      <c r="H38" s="9" t="n">
        <v>0.0819</v>
      </c>
      <c r="I38" s="5" t="n">
        <v>0.9699</v>
      </c>
      <c r="J38" s="3"/>
      <c r="K38" s="3" t="n">
        <v>98.7</v>
      </c>
      <c r="L38" s="3" t="n">
        <v>39.3</v>
      </c>
      <c r="M38" s="3"/>
      <c r="N38" s="3" t="s">
        <v>320</v>
      </c>
      <c r="O38" s="3" t="s">
        <v>180</v>
      </c>
      <c r="P38" s="3"/>
      <c r="Q38" s="3"/>
      <c r="R38" s="3"/>
      <c r="S38" s="3" t="s">
        <v>188</v>
      </c>
      <c r="T38" s="3" t="s">
        <v>321</v>
      </c>
    </row>
    <row r="39" customFormat="false" ht="15" hidden="false" customHeight="true" outlineLevel="0" collapsed="false">
      <c r="A39" s="3" t="s">
        <v>52</v>
      </c>
      <c r="B39" s="4" t="s">
        <v>49</v>
      </c>
      <c r="C39" s="4" t="s">
        <v>319</v>
      </c>
      <c r="D39" s="7" t="n">
        <v>10399101</v>
      </c>
      <c r="E39" s="4"/>
      <c r="F39" s="9" t="n">
        <v>0.9996</v>
      </c>
      <c r="G39" s="7" t="n">
        <v>998881</v>
      </c>
      <c r="H39" s="9" t="n">
        <v>0.0971</v>
      </c>
      <c r="I39" s="5" t="n">
        <v>0.9663</v>
      </c>
      <c r="J39" s="3"/>
      <c r="K39" s="3" t="n">
        <v>127.7</v>
      </c>
      <c r="L39" s="3" t="n">
        <v>55.3</v>
      </c>
      <c r="M39" s="3"/>
      <c r="N39" s="3" t="s">
        <v>320</v>
      </c>
      <c r="O39" s="3" t="s">
        <v>180</v>
      </c>
      <c r="P39" s="3"/>
      <c r="Q39" s="3"/>
      <c r="R39" s="3"/>
      <c r="S39" s="3" t="s">
        <v>183</v>
      </c>
      <c r="T39" s="3" t="s">
        <v>321</v>
      </c>
    </row>
    <row r="40" customFormat="false" ht="15" hidden="false" customHeight="true" outlineLevel="0" collapsed="false">
      <c r="A40" s="3" t="s">
        <v>58</v>
      </c>
      <c r="B40" s="4" t="s">
        <v>55</v>
      </c>
      <c r="C40" s="4" t="s">
        <v>319</v>
      </c>
      <c r="D40" s="7" t="n">
        <v>11644754</v>
      </c>
      <c r="E40" s="4"/>
      <c r="F40" s="9" t="n">
        <v>0.9997</v>
      </c>
      <c r="G40" s="7" t="n">
        <v>1159772</v>
      </c>
      <c r="H40" s="9" t="n">
        <v>0.1015</v>
      </c>
      <c r="I40" s="5" t="n">
        <v>0.9653</v>
      </c>
      <c r="J40" s="3"/>
      <c r="K40" s="3" t="n">
        <v>104.2</v>
      </c>
      <c r="L40" s="3" t="n">
        <v>44.4</v>
      </c>
      <c r="M40" s="3"/>
      <c r="N40" s="3" t="s">
        <v>320</v>
      </c>
      <c r="O40" s="3" t="s">
        <v>180</v>
      </c>
      <c r="P40" s="3"/>
      <c r="Q40" s="3"/>
      <c r="R40" s="3"/>
      <c r="S40" s="3" t="s">
        <v>188</v>
      </c>
      <c r="T40" s="3" t="s">
        <v>321</v>
      </c>
    </row>
    <row r="41" customFormat="false" ht="15" hidden="false" customHeight="true" outlineLevel="0" collapsed="false">
      <c r="A41" s="3" t="s">
        <v>63</v>
      </c>
      <c r="B41" s="4" t="s">
        <v>61</v>
      </c>
      <c r="C41" s="4" t="s">
        <v>319</v>
      </c>
      <c r="D41" s="7" t="n">
        <v>12312707</v>
      </c>
      <c r="E41" s="4"/>
      <c r="F41" s="9" t="n">
        <v>0.9997</v>
      </c>
      <c r="G41" s="7" t="n">
        <v>1044796</v>
      </c>
      <c r="H41" s="9" t="n">
        <v>0.0864</v>
      </c>
      <c r="I41" s="5" t="n">
        <v>0.971</v>
      </c>
      <c r="J41" s="3"/>
      <c r="K41" s="3" t="n">
        <v>108.2</v>
      </c>
      <c r="L41" s="3" t="n">
        <v>46.9</v>
      </c>
      <c r="M41" s="3"/>
      <c r="N41" s="3" t="s">
        <v>320</v>
      </c>
      <c r="O41" s="3" t="s">
        <v>180</v>
      </c>
      <c r="P41" s="3"/>
      <c r="Q41" s="3"/>
      <c r="R41" s="3"/>
      <c r="S41" s="3" t="s">
        <v>188</v>
      </c>
      <c r="T41" s="3" t="s">
        <v>321</v>
      </c>
    </row>
    <row r="42" customFormat="false" ht="15" hidden="false" customHeight="true" outlineLevel="0" collapsed="false">
      <c r="A42" s="3" t="s">
        <v>68</v>
      </c>
      <c r="B42" s="4" t="s">
        <v>66</v>
      </c>
      <c r="C42" s="4" t="s">
        <v>319</v>
      </c>
      <c r="D42" s="7" t="n">
        <v>10926761</v>
      </c>
      <c r="E42" s="4"/>
      <c r="F42" s="9" t="n">
        <v>0.9997</v>
      </c>
      <c r="G42" s="7" t="n">
        <v>1045659</v>
      </c>
      <c r="H42" s="9" t="n">
        <v>0.0981</v>
      </c>
      <c r="I42" s="5" t="n">
        <v>0.9583</v>
      </c>
      <c r="J42" s="3"/>
      <c r="K42" s="3" t="n">
        <v>92.5</v>
      </c>
      <c r="L42" s="3" t="n">
        <v>36.9</v>
      </c>
      <c r="M42" s="3"/>
      <c r="N42" s="3" t="s">
        <v>320</v>
      </c>
      <c r="O42" s="3" t="s">
        <v>180</v>
      </c>
      <c r="P42" s="3"/>
      <c r="Q42" s="3"/>
      <c r="R42" s="3"/>
      <c r="S42" s="3" t="s">
        <v>183</v>
      </c>
      <c r="T42" s="3" t="s">
        <v>321</v>
      </c>
    </row>
    <row r="43" customFormat="false" ht="15" hidden="false" customHeight="true" outlineLevel="0" collapsed="false">
      <c r="A43" s="3" t="s">
        <v>73</v>
      </c>
      <c r="B43" s="4" t="s">
        <v>71</v>
      </c>
      <c r="C43" s="4" t="s">
        <v>319</v>
      </c>
      <c r="D43" s="7" t="n">
        <v>11806618</v>
      </c>
      <c r="E43" s="4"/>
      <c r="F43" s="9" t="n">
        <v>0.9997</v>
      </c>
      <c r="G43" s="7" t="n">
        <v>991757</v>
      </c>
      <c r="H43" s="9" t="n">
        <v>0.0866</v>
      </c>
      <c r="I43" s="5" t="n">
        <v>0.9652</v>
      </c>
      <c r="J43" s="3"/>
      <c r="K43" s="3" t="n">
        <v>88.4</v>
      </c>
      <c r="L43" s="3" t="n">
        <v>33.7</v>
      </c>
      <c r="M43" s="3"/>
      <c r="N43" s="3" t="s">
        <v>320</v>
      </c>
      <c r="O43" s="3" t="s">
        <v>180</v>
      </c>
      <c r="P43" s="3"/>
      <c r="Q43" s="3"/>
      <c r="R43" s="3"/>
      <c r="S43" s="3" t="s">
        <v>188</v>
      </c>
      <c r="T43" s="3" t="s">
        <v>321</v>
      </c>
    </row>
    <row r="44" customFormat="false" ht="15" hidden="false" customHeight="true" outlineLevel="0" collapsed="false">
      <c r="A44" s="3" t="s">
        <v>78</v>
      </c>
      <c r="B44" s="4" t="s">
        <v>76</v>
      </c>
      <c r="C44" s="4" t="s">
        <v>319</v>
      </c>
      <c r="D44" s="7" t="n">
        <v>14224702</v>
      </c>
      <c r="E44" s="4"/>
      <c r="F44" s="9" t="n">
        <v>0.9994</v>
      </c>
      <c r="G44" s="7" t="n">
        <v>3625229</v>
      </c>
      <c r="H44" s="9" t="n">
        <v>0.2632</v>
      </c>
      <c r="I44" s="5" t="n">
        <v>0.7811</v>
      </c>
      <c r="J44" s="3"/>
      <c r="K44" s="3" t="n">
        <v>68</v>
      </c>
      <c r="L44" s="3" t="n">
        <v>34.7</v>
      </c>
      <c r="M44" s="3"/>
      <c r="N44" s="3" t="s">
        <v>320</v>
      </c>
      <c r="O44" s="3" t="s">
        <v>180</v>
      </c>
      <c r="P44" s="3"/>
      <c r="Q44" s="3"/>
      <c r="R44" s="3"/>
      <c r="S44" s="3" t="s">
        <v>188</v>
      </c>
      <c r="T44" s="3" t="s">
        <v>322</v>
      </c>
    </row>
    <row r="45" customFormat="false" ht="15" hidden="false" customHeight="true" outlineLevel="0" collapsed="false">
      <c r="A45" s="3" t="s">
        <v>83</v>
      </c>
      <c r="B45" s="4" t="s">
        <v>81</v>
      </c>
      <c r="C45" s="4" t="s">
        <v>319</v>
      </c>
      <c r="D45" s="7" t="n">
        <v>11355837</v>
      </c>
      <c r="E45" s="4"/>
      <c r="F45" s="9" t="n">
        <v>0.9997</v>
      </c>
      <c r="G45" s="7" t="n">
        <v>1371319</v>
      </c>
      <c r="H45" s="9" t="n">
        <v>0.1243</v>
      </c>
      <c r="I45" s="5" t="n">
        <v>0.9283</v>
      </c>
      <c r="J45" s="3"/>
      <c r="K45" s="3" t="n">
        <v>81.3</v>
      </c>
      <c r="L45" s="3" t="n">
        <v>32.1</v>
      </c>
      <c r="M45" s="3"/>
      <c r="N45" s="3" t="s">
        <v>320</v>
      </c>
      <c r="O45" s="3" t="s">
        <v>180</v>
      </c>
      <c r="P45" s="3"/>
      <c r="Q45" s="3"/>
      <c r="R45" s="3"/>
      <c r="S45" s="3" t="s">
        <v>183</v>
      </c>
      <c r="T45" s="3" t="s">
        <v>323</v>
      </c>
    </row>
    <row r="46" customFormat="false" ht="15" hidden="false" customHeight="true" outlineLevel="0" collapsed="false">
      <c r="A46" s="3" t="s">
        <v>88</v>
      </c>
      <c r="B46" s="4" t="s">
        <v>86</v>
      </c>
      <c r="C46" s="4" t="s">
        <v>319</v>
      </c>
      <c r="D46" s="7" t="n">
        <v>11428283</v>
      </c>
      <c r="E46" s="4"/>
      <c r="F46" s="9" t="n">
        <v>0.9997</v>
      </c>
      <c r="G46" s="7" t="n">
        <v>954954</v>
      </c>
      <c r="H46" s="9" t="n">
        <v>0.0859</v>
      </c>
      <c r="I46" s="5" t="n">
        <v>0.9579</v>
      </c>
      <c r="J46" s="3"/>
      <c r="K46" s="3" t="n">
        <v>105</v>
      </c>
      <c r="L46" s="3" t="n">
        <v>44.7</v>
      </c>
      <c r="M46" s="3"/>
      <c r="N46" s="3" t="s">
        <v>320</v>
      </c>
      <c r="O46" s="3" t="s">
        <v>180</v>
      </c>
      <c r="P46" s="3"/>
      <c r="Q46" s="3"/>
      <c r="R46" s="3"/>
      <c r="S46" s="3" t="s">
        <v>183</v>
      </c>
      <c r="T46" s="3" t="s">
        <v>324</v>
      </c>
    </row>
    <row r="47" customFormat="false" ht="15" hidden="false" customHeight="true" outlineLevel="0" collapsed="false">
      <c r="A47" s="3" t="s">
        <v>93</v>
      </c>
      <c r="B47" s="4" t="s">
        <v>91</v>
      </c>
      <c r="C47" s="4" t="s">
        <v>319</v>
      </c>
      <c r="D47" s="7" t="n">
        <v>14229051</v>
      </c>
      <c r="E47" s="4"/>
      <c r="F47" s="9" t="n">
        <v>0.9996</v>
      </c>
      <c r="G47" s="7" t="n">
        <v>1883089</v>
      </c>
      <c r="H47" s="9" t="n">
        <v>0.1358</v>
      </c>
      <c r="I47" s="5" t="n">
        <v>0.9191</v>
      </c>
      <c r="J47" s="3"/>
      <c r="K47" s="3" t="n">
        <v>85.7</v>
      </c>
      <c r="L47" s="3" t="n">
        <v>34.7</v>
      </c>
      <c r="M47" s="3"/>
      <c r="N47" s="3" t="s">
        <v>320</v>
      </c>
      <c r="O47" s="3" t="s">
        <v>180</v>
      </c>
      <c r="P47" s="3"/>
      <c r="Q47" s="3"/>
      <c r="R47" s="3"/>
      <c r="S47" s="3" t="s">
        <v>183</v>
      </c>
      <c r="T47" s="3" t="s">
        <v>325</v>
      </c>
    </row>
    <row r="48" customFormat="false" ht="15" hidden="false" customHeight="true" outlineLevel="0" collapsed="false">
      <c r="A48" s="3" t="s">
        <v>98</v>
      </c>
      <c r="B48" s="4" t="s">
        <v>96</v>
      </c>
      <c r="C48" s="4" t="s">
        <v>319</v>
      </c>
      <c r="D48" s="7" t="n">
        <v>14443154</v>
      </c>
      <c r="E48" s="4"/>
      <c r="F48" s="9" t="n">
        <v>0.9996</v>
      </c>
      <c r="G48" s="7" t="n">
        <v>1396456</v>
      </c>
      <c r="H48" s="9" t="n">
        <v>0.0988</v>
      </c>
      <c r="I48" s="5" t="n">
        <v>0.962</v>
      </c>
      <c r="J48" s="3"/>
      <c r="K48" s="3" t="n">
        <v>96</v>
      </c>
      <c r="L48" s="3" t="n">
        <v>37.5</v>
      </c>
      <c r="M48" s="3"/>
      <c r="N48" s="3" t="s">
        <v>320</v>
      </c>
      <c r="O48" s="3" t="s">
        <v>180</v>
      </c>
      <c r="P48" s="3"/>
      <c r="Q48" s="3"/>
      <c r="R48" s="3"/>
      <c r="S48" s="3" t="s">
        <v>183</v>
      </c>
      <c r="T48" s="3" t="s">
        <v>321</v>
      </c>
    </row>
    <row r="49" customFormat="false" ht="15" hidden="false" customHeight="true" outlineLevel="0" collapsed="false">
      <c r="A49" s="3" t="s">
        <v>103</v>
      </c>
      <c r="B49" s="4" t="s">
        <v>101</v>
      </c>
      <c r="C49" s="4" t="s">
        <v>319</v>
      </c>
      <c r="D49" s="7" t="n">
        <v>11056696</v>
      </c>
      <c r="E49" s="4"/>
      <c r="F49" s="9" t="n">
        <v>0.9997</v>
      </c>
      <c r="G49" s="7" t="n">
        <v>984593</v>
      </c>
      <c r="H49" s="9" t="n">
        <v>0.0909</v>
      </c>
      <c r="I49" s="5" t="n">
        <v>0.9655</v>
      </c>
      <c r="J49" s="3"/>
      <c r="K49" s="3" t="n">
        <v>96.3</v>
      </c>
      <c r="L49" s="3" t="n">
        <v>38.3</v>
      </c>
      <c r="M49" s="3"/>
      <c r="N49" s="3" t="s">
        <v>320</v>
      </c>
      <c r="O49" s="3" t="s">
        <v>180</v>
      </c>
      <c r="P49" s="3"/>
      <c r="Q49" s="3"/>
      <c r="R49" s="3"/>
      <c r="S49" s="3" t="s">
        <v>188</v>
      </c>
      <c r="T49" s="3" t="s">
        <v>321</v>
      </c>
    </row>
    <row r="50" customFormat="false" ht="15" hidden="false" customHeight="true" outlineLevel="0" collapsed="false">
      <c r="A50" s="3" t="s">
        <v>108</v>
      </c>
      <c r="B50" s="4" t="s">
        <v>106</v>
      </c>
      <c r="C50" s="4" t="s">
        <v>319</v>
      </c>
      <c r="D50" s="7" t="n">
        <v>10799618</v>
      </c>
      <c r="E50" s="4"/>
      <c r="F50" s="9" t="n">
        <v>0.9997</v>
      </c>
      <c r="G50" s="7" t="n">
        <v>849965</v>
      </c>
      <c r="H50" s="9" t="n">
        <v>0.08</v>
      </c>
      <c r="I50" s="5" t="n">
        <v>0.9738</v>
      </c>
      <c r="J50" s="3"/>
      <c r="K50" s="3" t="n">
        <v>103.5</v>
      </c>
      <c r="L50" s="3" t="n">
        <v>42.9</v>
      </c>
      <c r="M50" s="3"/>
      <c r="N50" s="3" t="s">
        <v>320</v>
      </c>
      <c r="O50" s="3" t="s">
        <v>180</v>
      </c>
      <c r="P50" s="3"/>
      <c r="Q50" s="3"/>
      <c r="R50" s="3"/>
      <c r="S50" s="3" t="s">
        <v>188</v>
      </c>
      <c r="T50" s="3" t="s">
        <v>321</v>
      </c>
    </row>
    <row r="51" customFormat="false" ht="15" hidden="false" customHeight="true" outlineLevel="0" collapsed="false">
      <c r="A51" s="3" t="s">
        <v>113</v>
      </c>
      <c r="B51" s="4" t="s">
        <v>111</v>
      </c>
      <c r="C51" s="4" t="s">
        <v>319</v>
      </c>
      <c r="D51" s="7" t="n">
        <v>11829318</v>
      </c>
      <c r="E51" s="4"/>
      <c r="F51" s="9" t="n">
        <v>0.9997</v>
      </c>
      <c r="G51" s="7" t="n">
        <v>1140176</v>
      </c>
      <c r="H51" s="9" t="n">
        <v>0.098</v>
      </c>
      <c r="I51" s="5" t="n">
        <v>0.9659</v>
      </c>
      <c r="J51" s="3"/>
      <c r="K51" s="3" t="n">
        <v>107</v>
      </c>
      <c r="L51" s="3" t="n">
        <v>48.8</v>
      </c>
      <c r="M51" s="3"/>
      <c r="N51" s="3" t="s">
        <v>320</v>
      </c>
      <c r="O51" s="3" t="s">
        <v>180</v>
      </c>
      <c r="P51" s="3"/>
      <c r="Q51" s="3"/>
      <c r="R51" s="3"/>
      <c r="S51" s="3" t="s">
        <v>183</v>
      </c>
      <c r="T51" s="3" t="s">
        <v>321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0" sqref="AD1"/>
    </sheetView>
  </sheetViews>
  <sheetFormatPr defaultColWidth="8.59765625" defaultRowHeight="15" zeroHeight="false" outlineLevelRow="0" outlineLevelCol="0"/>
  <cols>
    <col collapsed="false" customWidth="true" hidden="false" outlineLevel="0" max="2" min="1" style="1" width="13"/>
    <col collapsed="false" customWidth="true" hidden="false" outlineLevel="0" max="3" min="3" style="1" width="10"/>
    <col collapsed="false" customWidth="true" hidden="false" outlineLevel="0" max="4" min="4" style="1" width="11"/>
    <col collapsed="false" customWidth="true" hidden="false" outlineLevel="0" max="5" min="5" style="1" width="9"/>
    <col collapsed="false" customWidth="true" hidden="false" outlineLevel="0" max="6" min="6" style="1" width="10"/>
    <col collapsed="false" customWidth="true" hidden="false" outlineLevel="0" max="7" min="7" style="1" width="11"/>
    <col collapsed="false" customWidth="true" hidden="false" outlineLevel="0" max="8" min="8" style="1" width="9"/>
    <col collapsed="false" customWidth="true" hidden="false" outlineLevel="0" max="9" min="9" style="1" width="15"/>
    <col collapsed="false" customWidth="true" hidden="false" outlineLevel="0" max="10" min="10" style="1" width="14"/>
    <col collapsed="false" customWidth="true" hidden="false" outlineLevel="0" max="11" min="11" style="1" width="15"/>
    <col collapsed="false" customWidth="true" hidden="false" outlineLevel="0" max="12" min="12" style="1" width="14"/>
    <col collapsed="false" customWidth="true" hidden="false" outlineLevel="0" max="13" min="13" style="1" width="10"/>
    <col collapsed="false" customWidth="true" hidden="false" outlineLevel="0" max="14" min="14" style="1" width="14"/>
    <col collapsed="false" customWidth="true" hidden="false" outlineLevel="0" max="17" min="15" style="1" width="9"/>
    <col collapsed="false" customWidth="true" hidden="false" outlineLevel="0" max="18" min="18" style="1" width="12"/>
    <col collapsed="false" customWidth="true" hidden="false" outlineLevel="0" max="19" min="19" style="1" width="9"/>
    <col collapsed="false" customWidth="true" hidden="false" outlineLevel="0" max="20" min="20" style="1" width="13"/>
    <col collapsed="false" customWidth="true" hidden="false" outlineLevel="0" max="21" min="21" style="1" width="12"/>
    <col collapsed="false" customWidth="true" hidden="false" outlineLevel="0" max="22" min="22" style="1" width="9"/>
    <col collapsed="false" customWidth="true" hidden="false" outlineLevel="0" max="23" min="23" style="1" width="13"/>
    <col collapsed="false" customWidth="true" hidden="false" outlineLevel="0" max="24" min="24" style="1" width="12"/>
    <col collapsed="false" customWidth="true" hidden="false" outlineLevel="0" max="25" min="25" style="1" width="16"/>
    <col collapsed="false" customWidth="true" hidden="false" outlineLevel="0" max="26" min="26" style="1" width="10"/>
    <col collapsed="false" customWidth="true" hidden="false" outlineLevel="0" max="27" min="27" style="1" width="11"/>
    <col collapsed="false" customWidth="true" hidden="false" outlineLevel="0" max="28" min="28" style="1" width="10"/>
    <col collapsed="false" customWidth="true" hidden="false" outlineLevel="0" max="29" min="29" style="1" width="17"/>
    <col collapsed="false" customWidth="true" hidden="false" outlineLevel="0" max="30" min="30" style="1" width="20"/>
    <col collapsed="false" customWidth="true" hidden="false" outlineLevel="0" max="31" min="31" style="1" width="60"/>
  </cols>
  <sheetData>
    <row r="1" customFormat="false" ht="23.25" hidden="false" customHeight="true" outlineLevel="0" collapsed="false">
      <c r="A1" s="2" t="s">
        <v>0</v>
      </c>
      <c r="B1" s="2" t="s">
        <v>1</v>
      </c>
      <c r="C1" s="2" t="s">
        <v>326</v>
      </c>
      <c r="D1" s="2" t="s">
        <v>327</v>
      </c>
      <c r="E1" s="2" t="s">
        <v>328</v>
      </c>
      <c r="F1" s="2" t="s">
        <v>329</v>
      </c>
      <c r="G1" s="2" t="s">
        <v>330</v>
      </c>
      <c r="H1" s="2" t="s">
        <v>331</v>
      </c>
      <c r="I1" s="2" t="s">
        <v>332</v>
      </c>
      <c r="J1" s="2" t="s">
        <v>333</v>
      </c>
      <c r="K1" s="2" t="s">
        <v>334</v>
      </c>
      <c r="L1" s="2" t="s">
        <v>335</v>
      </c>
      <c r="M1" s="6" t="s">
        <v>336</v>
      </c>
      <c r="N1" s="2" t="s">
        <v>337</v>
      </c>
      <c r="O1" s="2" t="s">
        <v>338</v>
      </c>
      <c r="P1" s="2" t="s">
        <v>339</v>
      </c>
      <c r="Q1" s="2" t="s">
        <v>340</v>
      </c>
      <c r="R1" s="2" t="s">
        <v>341</v>
      </c>
      <c r="S1" s="2" t="s">
        <v>342</v>
      </c>
      <c r="T1" s="2" t="s">
        <v>343</v>
      </c>
      <c r="U1" s="2" t="s">
        <v>344</v>
      </c>
      <c r="V1" s="2" t="s">
        <v>345</v>
      </c>
      <c r="W1" s="2" t="s">
        <v>346</v>
      </c>
      <c r="X1" s="2" t="s">
        <v>347</v>
      </c>
      <c r="Y1" s="2" t="s">
        <v>8</v>
      </c>
      <c r="Z1" s="2" t="s">
        <v>10</v>
      </c>
      <c r="AA1" s="2" t="s">
        <v>348</v>
      </c>
      <c r="AB1" s="2" t="s">
        <v>349</v>
      </c>
      <c r="AC1" s="2" t="s">
        <v>350</v>
      </c>
      <c r="AD1" s="2" t="s">
        <v>351</v>
      </c>
      <c r="AE1" s="2" t="s">
        <v>352</v>
      </c>
    </row>
    <row r="2" customFormat="false" ht="15" hidden="false" customHeight="true" outlineLevel="0" collapsed="false">
      <c r="A2" s="3" t="s">
        <v>11</v>
      </c>
      <c r="B2" s="3" t="s">
        <v>12</v>
      </c>
      <c r="C2" s="5" t="n">
        <v>0.06348</v>
      </c>
      <c r="D2" s="3" t="n">
        <v>2.032</v>
      </c>
      <c r="E2" s="3" t="n">
        <v>0.03457</v>
      </c>
      <c r="F2" s="5" t="n">
        <v>0.06441</v>
      </c>
      <c r="G2" s="3" t="n">
        <v>2.154</v>
      </c>
      <c r="H2" s="3" t="n">
        <v>0.04313</v>
      </c>
      <c r="I2" s="3"/>
      <c r="J2" s="3" t="s">
        <v>353</v>
      </c>
      <c r="K2" s="3" t="s">
        <v>354</v>
      </c>
      <c r="L2" s="3" t="s">
        <v>355</v>
      </c>
      <c r="M2" s="7" t="n">
        <v>1</v>
      </c>
      <c r="N2" s="3" t="s">
        <v>356</v>
      </c>
      <c r="O2" s="5" t="n">
        <v>0.388625591584265</v>
      </c>
      <c r="P2" s="5" t="n">
        <v>0.258476120839192</v>
      </c>
      <c r="Q2" s="5" t="n">
        <v>0.130149470745074</v>
      </c>
      <c r="R2" s="10" t="n">
        <v>25</v>
      </c>
      <c r="S2" s="10" t="n">
        <v>15</v>
      </c>
      <c r="T2" s="10" t="n">
        <v>8</v>
      </c>
      <c r="U2" s="10" t="n">
        <v>7</v>
      </c>
      <c r="V2" s="10" t="n">
        <v>15</v>
      </c>
      <c r="W2" s="10" t="n">
        <v>8</v>
      </c>
      <c r="X2" s="10" t="n">
        <v>7</v>
      </c>
      <c r="Y2" s="3"/>
      <c r="Z2" s="3"/>
      <c r="AA2" s="3"/>
      <c r="AB2" s="3"/>
      <c r="AC2" s="3"/>
      <c r="AD2" s="3"/>
      <c r="AE2" s="3"/>
    </row>
    <row r="3" customFormat="false" ht="15" hidden="false" customHeight="true" outlineLevel="0" collapsed="false">
      <c r="A3" s="3" t="s">
        <v>18</v>
      </c>
      <c r="B3" s="3" t="s">
        <v>19</v>
      </c>
      <c r="C3" s="5" t="n">
        <v>0.05354</v>
      </c>
      <c r="D3" s="3" t="n">
        <v>2.236</v>
      </c>
      <c r="E3" s="3" t="n">
        <v>0.04151</v>
      </c>
      <c r="F3" s="5" t="n">
        <v>0.09128</v>
      </c>
      <c r="G3" s="3" t="n">
        <v>2.08</v>
      </c>
      <c r="H3" s="3" t="n">
        <v>0.052</v>
      </c>
      <c r="I3" s="3"/>
      <c r="J3" s="3" t="s">
        <v>353</v>
      </c>
      <c r="K3" s="3" t="s">
        <v>354</v>
      </c>
      <c r="L3" s="3" t="s">
        <v>355</v>
      </c>
      <c r="M3" s="7" t="n">
        <v>3</v>
      </c>
      <c r="N3" s="3" t="s">
        <v>356</v>
      </c>
      <c r="O3" s="5" t="n">
        <v>0.308785999870947</v>
      </c>
      <c r="P3" s="5" t="n">
        <v>0.231498359271584</v>
      </c>
      <c r="Q3" s="5" t="n">
        <v>0.0772876405993635</v>
      </c>
      <c r="R3" s="10" t="n">
        <v>28</v>
      </c>
      <c r="S3" s="10" t="n">
        <v>12</v>
      </c>
      <c r="T3" s="10" t="n">
        <v>7</v>
      </c>
      <c r="U3" s="10" t="n">
        <v>5</v>
      </c>
      <c r="V3" s="10" t="n">
        <v>13</v>
      </c>
      <c r="W3" s="10" t="n">
        <v>8</v>
      </c>
      <c r="X3" s="10" t="n">
        <v>5</v>
      </c>
      <c r="Y3" s="3"/>
      <c r="Z3" s="3"/>
      <c r="AA3" s="3"/>
      <c r="AB3" s="3"/>
      <c r="AC3" s="3"/>
      <c r="AD3" s="3"/>
      <c r="AE3" s="3"/>
    </row>
    <row r="4" customFormat="false" ht="15" hidden="false" customHeight="true" outlineLevel="0" collapsed="false">
      <c r="A4" s="3" t="s">
        <v>22</v>
      </c>
      <c r="B4" s="3" t="s">
        <v>23</v>
      </c>
      <c r="C4" s="5" t="n">
        <v>0.01883</v>
      </c>
      <c r="D4" s="3" t="n">
        <v>2.053</v>
      </c>
      <c r="E4" s="3" t="n">
        <v>0.03754</v>
      </c>
      <c r="F4" s="5" t="n">
        <v>0.02177</v>
      </c>
      <c r="G4" s="3" t="n">
        <v>2.082</v>
      </c>
      <c r="H4" s="3" t="n">
        <v>0.04749</v>
      </c>
      <c r="I4" s="3"/>
      <c r="J4" s="3" t="s">
        <v>357</v>
      </c>
      <c r="K4" s="3" t="s">
        <v>358</v>
      </c>
      <c r="L4" s="3" t="s">
        <v>359</v>
      </c>
      <c r="M4" s="7" t="n">
        <v>1</v>
      </c>
      <c r="N4" s="3" t="s">
        <v>357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customFormat="false" ht="15" hidden="false" customHeight="true" outlineLevel="0" collapsed="false">
      <c r="A5" s="3" t="s">
        <v>26</v>
      </c>
      <c r="B5" s="3" t="s">
        <v>27</v>
      </c>
      <c r="C5" s="5" t="n">
        <v>0.02921</v>
      </c>
      <c r="D5" s="3" t="n">
        <v>2.333</v>
      </c>
      <c r="E5" s="3" t="n">
        <v>0.03578</v>
      </c>
      <c r="F5" s="5" t="n">
        <v>0.0331</v>
      </c>
      <c r="G5" s="3" t="n">
        <v>2.299</v>
      </c>
      <c r="H5" s="3" t="n">
        <v>0.04655</v>
      </c>
      <c r="I5" s="3" t="s">
        <v>360</v>
      </c>
      <c r="J5" s="3" t="s">
        <v>357</v>
      </c>
      <c r="K5" s="3" t="s">
        <v>358</v>
      </c>
      <c r="L5" s="3" t="s">
        <v>359</v>
      </c>
      <c r="M5" s="7" t="n">
        <v>2</v>
      </c>
      <c r="N5" s="3" t="s">
        <v>357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customFormat="false" ht="15" hidden="false" customHeight="true" outlineLevel="0" collapsed="false">
      <c r="A6" s="3" t="s">
        <v>30</v>
      </c>
      <c r="B6" s="3" t="s">
        <v>31</v>
      </c>
      <c r="C6" s="5" t="n">
        <v>0.03841</v>
      </c>
      <c r="D6" s="3" t="n">
        <v>1.952</v>
      </c>
      <c r="E6" s="3" t="n">
        <v>0.04181</v>
      </c>
      <c r="F6" s="5" t="n">
        <v>0.04458</v>
      </c>
      <c r="G6" s="3" t="n">
        <v>2.263</v>
      </c>
      <c r="H6" s="3" t="n">
        <v>0.05187</v>
      </c>
      <c r="I6" s="3"/>
      <c r="J6" s="3" t="s">
        <v>353</v>
      </c>
      <c r="K6" s="3" t="s">
        <v>354</v>
      </c>
      <c r="L6" s="3" t="s">
        <v>355</v>
      </c>
      <c r="M6" s="7" t="n">
        <v>0</v>
      </c>
      <c r="N6" s="3" t="s">
        <v>361</v>
      </c>
      <c r="O6" s="5" t="n">
        <v>0.348888078169879</v>
      </c>
      <c r="P6" s="5" t="n">
        <v>0.106817352856022</v>
      </c>
      <c r="Q6" s="5" t="n">
        <v>0.242070725313857</v>
      </c>
      <c r="R6" s="10" t="n">
        <v>27</v>
      </c>
      <c r="S6" s="10" t="n">
        <v>12</v>
      </c>
      <c r="T6" s="10" t="n">
        <v>3</v>
      </c>
      <c r="U6" s="10" t="n">
        <v>9</v>
      </c>
      <c r="V6" s="10" t="n">
        <v>15</v>
      </c>
      <c r="W6" s="10" t="n">
        <v>5</v>
      </c>
      <c r="X6" s="10" t="n">
        <v>10</v>
      </c>
      <c r="Y6" s="3"/>
      <c r="Z6" s="3"/>
      <c r="AA6" s="3"/>
      <c r="AB6" s="3"/>
      <c r="AC6" s="3"/>
      <c r="AD6" s="3"/>
      <c r="AE6" s="3"/>
    </row>
    <row r="7" customFormat="false" ht="15" hidden="false" customHeight="true" outlineLevel="0" collapsed="false">
      <c r="A7" s="3" t="s">
        <v>33</v>
      </c>
      <c r="B7" s="3" t="s">
        <v>34</v>
      </c>
      <c r="C7" s="5" t="n">
        <v>0.1718</v>
      </c>
      <c r="D7" s="3" t="n">
        <v>2.206</v>
      </c>
      <c r="E7" s="3" t="n">
        <v>0.0415</v>
      </c>
      <c r="F7" s="5" t="n">
        <v>0.1766</v>
      </c>
      <c r="G7" s="3" t="n">
        <v>2.213</v>
      </c>
      <c r="H7" s="3" t="n">
        <v>0.05335</v>
      </c>
      <c r="I7" s="3"/>
      <c r="J7" s="3" t="s">
        <v>362</v>
      </c>
      <c r="K7" s="3" t="s">
        <v>354</v>
      </c>
      <c r="L7" s="3" t="s">
        <v>355</v>
      </c>
      <c r="M7" s="7" t="n">
        <v>0</v>
      </c>
      <c r="N7" s="3" t="s">
        <v>361</v>
      </c>
      <c r="O7" s="5" t="n">
        <v>0.319955815124631</v>
      </c>
      <c r="P7" s="5" t="n">
        <v>0.280559645632926</v>
      </c>
      <c r="Q7" s="5" t="n">
        <v>0.0393961694917046</v>
      </c>
      <c r="R7" s="10" t="n">
        <v>34</v>
      </c>
      <c r="S7" s="10" t="n">
        <v>15</v>
      </c>
      <c r="T7" s="10" t="n">
        <v>13</v>
      </c>
      <c r="U7" s="10" t="n">
        <v>2</v>
      </c>
      <c r="V7" s="10" t="n">
        <v>15</v>
      </c>
      <c r="W7" s="10" t="n">
        <v>13</v>
      </c>
      <c r="X7" s="10" t="n">
        <v>2</v>
      </c>
      <c r="Y7" s="3" t="s">
        <v>36</v>
      </c>
      <c r="Z7" s="5" t="n">
        <v>0.12</v>
      </c>
      <c r="AA7" s="3" t="n">
        <v>2.542</v>
      </c>
      <c r="AB7" s="3" t="n">
        <v>0.1284</v>
      </c>
      <c r="AC7" s="5" t="n">
        <v>0.3748</v>
      </c>
      <c r="AD7" s="3" t="n">
        <v>34</v>
      </c>
      <c r="AE7" s="3" t="s">
        <v>363</v>
      </c>
    </row>
    <row r="8" customFormat="false" ht="15" hidden="false" customHeight="true" outlineLevel="0" collapsed="false">
      <c r="A8" s="3" t="s">
        <v>38</v>
      </c>
      <c r="B8" s="3" t="s">
        <v>39</v>
      </c>
      <c r="C8" s="5" t="n">
        <v>0.04475</v>
      </c>
      <c r="D8" s="3" t="n">
        <v>2.162</v>
      </c>
      <c r="E8" s="3" t="n">
        <v>0.03369</v>
      </c>
      <c r="F8" s="5" t="n">
        <v>0.06669</v>
      </c>
      <c r="G8" s="3" t="n">
        <v>2.093</v>
      </c>
      <c r="H8" s="3" t="n">
        <v>0.0447</v>
      </c>
      <c r="I8" s="3"/>
      <c r="J8" s="3" t="s">
        <v>353</v>
      </c>
      <c r="K8" s="3" t="s">
        <v>354</v>
      </c>
      <c r="L8" s="3" t="s">
        <v>355</v>
      </c>
      <c r="M8" s="7" t="n">
        <v>2</v>
      </c>
      <c r="N8" s="3" t="s">
        <v>356</v>
      </c>
      <c r="O8" s="5" t="n">
        <v>0.37294932503749</v>
      </c>
      <c r="P8" s="5" t="n">
        <v>0.278891724175906</v>
      </c>
      <c r="Q8" s="5" t="n">
        <v>0.094057600861584</v>
      </c>
      <c r="R8" s="10" t="n">
        <v>23</v>
      </c>
      <c r="S8" s="10" t="n">
        <v>15</v>
      </c>
      <c r="T8" s="10" t="n">
        <v>11</v>
      </c>
      <c r="U8" s="10" t="n">
        <v>4</v>
      </c>
      <c r="V8" s="10" t="n">
        <v>15</v>
      </c>
      <c r="W8" s="10" t="n">
        <v>11</v>
      </c>
      <c r="X8" s="10" t="n">
        <v>4</v>
      </c>
      <c r="Y8" s="3" t="s">
        <v>41</v>
      </c>
      <c r="Z8" s="5" t="n">
        <v>0.0671</v>
      </c>
      <c r="AA8" s="3" t="n">
        <v>2.435</v>
      </c>
      <c r="AB8" s="3" t="n">
        <v>0.229</v>
      </c>
      <c r="AC8" s="5" t="n">
        <v>0.2128</v>
      </c>
      <c r="AD8" s="3" t="n">
        <v>48.2</v>
      </c>
      <c r="AE8" s="3" t="s">
        <v>364</v>
      </c>
    </row>
    <row r="9" customFormat="false" ht="15" hidden="false" customHeight="true" outlineLevel="0" collapsed="false">
      <c r="A9" s="3" t="s">
        <v>43</v>
      </c>
      <c r="B9" s="3" t="s">
        <v>44</v>
      </c>
      <c r="C9" s="5" t="n">
        <v>0.08393</v>
      </c>
      <c r="D9" s="3" t="n">
        <v>2.053</v>
      </c>
      <c r="E9" s="3" t="n">
        <v>0.03603</v>
      </c>
      <c r="F9" s="5" t="n">
        <v>0.0845</v>
      </c>
      <c r="G9" s="3" t="n">
        <v>2.077</v>
      </c>
      <c r="H9" s="3" t="n">
        <v>0.04708</v>
      </c>
      <c r="I9" s="3"/>
      <c r="J9" s="3" t="s">
        <v>353</v>
      </c>
      <c r="K9" s="3" t="s">
        <v>354</v>
      </c>
      <c r="L9" s="3" t="s">
        <v>355</v>
      </c>
      <c r="M9" s="7" t="n">
        <v>2</v>
      </c>
      <c r="N9" s="3" t="s">
        <v>356</v>
      </c>
      <c r="O9" s="5" t="n">
        <v>0.403740371088044</v>
      </c>
      <c r="P9" s="5" t="n">
        <v>0.228456177702662</v>
      </c>
      <c r="Q9" s="5" t="n">
        <v>0.175284193385382</v>
      </c>
      <c r="R9" s="10" t="n">
        <v>42</v>
      </c>
      <c r="S9" s="10" t="n">
        <v>15</v>
      </c>
      <c r="T9" s="10" t="n">
        <v>7</v>
      </c>
      <c r="U9" s="10" t="n">
        <v>8</v>
      </c>
      <c r="V9" s="10" t="n">
        <v>20</v>
      </c>
      <c r="W9" s="10" t="n">
        <v>9</v>
      </c>
      <c r="X9" s="10" t="n">
        <v>11</v>
      </c>
      <c r="Y9" s="3" t="s">
        <v>46</v>
      </c>
      <c r="Z9" s="5" t="n">
        <v>0.03321</v>
      </c>
      <c r="AA9" s="3" t="n">
        <v>2.022</v>
      </c>
      <c r="AB9" s="3" t="n">
        <v>0.0615</v>
      </c>
      <c r="AC9" s="5" t="n">
        <v>0.4048</v>
      </c>
      <c r="AD9" s="3" t="n">
        <v>504</v>
      </c>
      <c r="AE9" s="3" t="s">
        <v>365</v>
      </c>
    </row>
    <row r="10" customFormat="false" ht="15" hidden="false" customHeight="true" outlineLevel="0" collapsed="false">
      <c r="A10" s="3" t="s">
        <v>48</v>
      </c>
      <c r="B10" s="3" t="s">
        <v>49</v>
      </c>
      <c r="C10" s="5" t="n">
        <v>0.4552</v>
      </c>
      <c r="D10" s="3" t="n">
        <v>2.299</v>
      </c>
      <c r="E10" s="3" t="n">
        <v>0.0411</v>
      </c>
      <c r="F10" s="5" t="n">
        <v>0.4587</v>
      </c>
      <c r="G10" s="3" t="n">
        <v>2.301</v>
      </c>
      <c r="H10" s="3" t="n">
        <v>0.05189</v>
      </c>
      <c r="I10" s="3"/>
      <c r="J10" s="3" t="s">
        <v>366</v>
      </c>
      <c r="K10" s="3" t="s">
        <v>354</v>
      </c>
      <c r="L10" s="3" t="s">
        <v>355</v>
      </c>
      <c r="M10" s="7" t="n">
        <v>0</v>
      </c>
      <c r="N10" s="3" t="s">
        <v>361</v>
      </c>
      <c r="O10" s="5" t="n">
        <v>0.54294362241153</v>
      </c>
      <c r="P10" s="5" t="n">
        <v>0.378357925585743</v>
      </c>
      <c r="Q10" s="5" t="n">
        <v>0.164585696825787</v>
      </c>
      <c r="R10" s="10" t="n">
        <v>59</v>
      </c>
      <c r="S10" s="10" t="n">
        <v>20</v>
      </c>
      <c r="T10" s="10" t="n">
        <v>13</v>
      </c>
      <c r="U10" s="10" t="n">
        <v>7</v>
      </c>
      <c r="V10" s="10" t="n">
        <v>22</v>
      </c>
      <c r="W10" s="10" t="n">
        <v>14</v>
      </c>
      <c r="X10" s="10" t="n">
        <v>8</v>
      </c>
      <c r="Y10" s="3" t="s">
        <v>52</v>
      </c>
      <c r="Z10" s="5" t="n">
        <v>0.4312</v>
      </c>
      <c r="AA10" s="3" t="n">
        <v>2.417</v>
      </c>
      <c r="AB10" s="3" t="n">
        <v>0.1224</v>
      </c>
      <c r="AC10" s="5" t="n">
        <v>0.2896</v>
      </c>
      <c r="AD10" s="3" t="n">
        <v>275</v>
      </c>
      <c r="AE10" s="3" t="s">
        <v>365</v>
      </c>
    </row>
    <row r="11" customFormat="false" ht="15" hidden="false" customHeight="true" outlineLevel="0" collapsed="false">
      <c r="A11" s="3" t="s">
        <v>54</v>
      </c>
      <c r="B11" s="3" t="s">
        <v>55</v>
      </c>
      <c r="C11" s="5" t="n">
        <v>0.5769</v>
      </c>
      <c r="D11" s="3" t="n">
        <v>1.997</v>
      </c>
      <c r="E11" s="3" t="n">
        <v>0.04274</v>
      </c>
      <c r="F11" s="5" t="n">
        <v>0.581</v>
      </c>
      <c r="G11" s="3" t="n">
        <v>2</v>
      </c>
      <c r="H11" s="3" t="n">
        <v>0.05143</v>
      </c>
      <c r="I11" s="3"/>
      <c r="J11" s="3" t="s">
        <v>366</v>
      </c>
      <c r="K11" s="3" t="s">
        <v>354</v>
      </c>
      <c r="L11" s="3" t="s">
        <v>355</v>
      </c>
      <c r="M11" s="7" t="n">
        <v>0</v>
      </c>
      <c r="N11" s="3" t="s">
        <v>361</v>
      </c>
      <c r="O11" s="5" t="n">
        <v>0.311784260216743</v>
      </c>
      <c r="P11" s="5" t="n">
        <v>0.159216844420511</v>
      </c>
      <c r="Q11" s="5" t="n">
        <v>0.152567415796232</v>
      </c>
      <c r="R11" s="10" t="n">
        <v>43</v>
      </c>
      <c r="S11" s="10" t="n">
        <v>12</v>
      </c>
      <c r="T11" s="10" t="n">
        <v>4</v>
      </c>
      <c r="U11" s="10" t="n">
        <v>8</v>
      </c>
      <c r="V11" s="10" t="n">
        <v>15</v>
      </c>
      <c r="W11" s="10" t="n">
        <v>7</v>
      </c>
      <c r="X11" s="10" t="n">
        <v>8</v>
      </c>
      <c r="Y11" s="3" t="s">
        <v>58</v>
      </c>
      <c r="Z11" s="5" t="n">
        <v>0.7569</v>
      </c>
      <c r="AA11" s="3" t="n">
        <v>2.003</v>
      </c>
      <c r="AB11" s="3" t="n">
        <v>0.0544</v>
      </c>
      <c r="AC11" s="5" t="n">
        <v>0.1234</v>
      </c>
      <c r="AD11" s="3" t="n">
        <v>310</v>
      </c>
      <c r="AE11" s="3" t="s">
        <v>365</v>
      </c>
    </row>
    <row r="12" customFormat="false" ht="15" hidden="false" customHeight="true" outlineLevel="0" collapsed="false">
      <c r="A12" s="3" t="s">
        <v>60</v>
      </c>
      <c r="B12" s="3" t="s">
        <v>61</v>
      </c>
      <c r="C12" s="5" t="n">
        <v>0.5066</v>
      </c>
      <c r="D12" s="3" t="n">
        <v>2.001</v>
      </c>
      <c r="E12" s="3" t="n">
        <v>0.03676</v>
      </c>
      <c r="F12" s="5" t="n">
        <v>0.1067</v>
      </c>
      <c r="G12" s="3" t="n">
        <v>1.933</v>
      </c>
      <c r="H12" s="3" t="n">
        <v>0.0449</v>
      </c>
      <c r="I12" s="3" t="s">
        <v>367</v>
      </c>
      <c r="J12" s="3" t="s">
        <v>366</v>
      </c>
      <c r="K12" s="3" t="s">
        <v>354</v>
      </c>
      <c r="L12" s="3" t="s">
        <v>355</v>
      </c>
      <c r="M12" s="7" t="n">
        <v>0</v>
      </c>
      <c r="N12" s="3" t="s">
        <v>361</v>
      </c>
      <c r="O12" s="5" t="n">
        <v>0.0991615007576373</v>
      </c>
      <c r="P12" s="5" t="n">
        <v>0.0882245713794527</v>
      </c>
      <c r="Q12" s="5" t="n">
        <v>0.0109369293781845</v>
      </c>
      <c r="R12" s="10" t="n">
        <v>26</v>
      </c>
      <c r="S12" s="10" t="n">
        <v>4</v>
      </c>
      <c r="T12" s="10" t="n">
        <v>4</v>
      </c>
      <c r="U12" s="10" t="n">
        <v>0</v>
      </c>
      <c r="V12" s="10" t="n">
        <v>4</v>
      </c>
      <c r="W12" s="10" t="n">
        <v>4</v>
      </c>
      <c r="X12" s="10" t="n">
        <v>0</v>
      </c>
      <c r="Y12" s="3" t="s">
        <v>63</v>
      </c>
      <c r="Z12" s="5" t="n">
        <v>0.03694</v>
      </c>
      <c r="AA12" s="3" t="n">
        <v>1.997</v>
      </c>
      <c r="AB12" s="3" t="n">
        <v>0.0423</v>
      </c>
      <c r="AC12" s="5" t="n">
        <v>0.6308</v>
      </c>
      <c r="AD12" s="3" t="n">
        <v>619</v>
      </c>
      <c r="AE12" s="3" t="s">
        <v>368</v>
      </c>
    </row>
    <row r="13" customFormat="false" ht="15" hidden="false" customHeight="true" outlineLevel="0" collapsed="false">
      <c r="A13" s="3" t="s">
        <v>65</v>
      </c>
      <c r="B13" s="3" t="s">
        <v>66</v>
      </c>
      <c r="C13" s="5" t="n">
        <v>0.2236</v>
      </c>
      <c r="D13" s="3" t="n">
        <v>2.004</v>
      </c>
      <c r="E13" s="3" t="n">
        <v>0.04984</v>
      </c>
      <c r="F13" s="5" t="n">
        <v>0.1577</v>
      </c>
      <c r="G13" s="3" t="n">
        <v>2.057</v>
      </c>
      <c r="H13" s="3" t="n">
        <v>0.0629</v>
      </c>
      <c r="I13" s="3"/>
      <c r="J13" s="3" t="s">
        <v>362</v>
      </c>
      <c r="K13" s="3" t="s">
        <v>354</v>
      </c>
      <c r="L13" s="3" t="s">
        <v>355</v>
      </c>
      <c r="M13" s="7" t="n">
        <v>0</v>
      </c>
      <c r="N13" s="3" t="s">
        <v>361</v>
      </c>
      <c r="O13" s="5" t="n">
        <v>0.298161761073205</v>
      </c>
      <c r="P13" s="5" t="n">
        <v>0.227941174275519</v>
      </c>
      <c r="Q13" s="5" t="n">
        <v>0.070220586797686</v>
      </c>
      <c r="R13" s="10" t="n">
        <v>44</v>
      </c>
      <c r="S13" s="10" t="n">
        <v>12</v>
      </c>
      <c r="T13" s="10" t="n">
        <v>10</v>
      </c>
      <c r="U13" s="10" t="n">
        <v>2</v>
      </c>
      <c r="V13" s="10" t="n">
        <v>15</v>
      </c>
      <c r="W13" s="10" t="n">
        <v>13</v>
      </c>
      <c r="X13" s="10" t="n">
        <v>2</v>
      </c>
      <c r="Y13" s="3" t="s">
        <v>68</v>
      </c>
      <c r="Z13" s="5" t="n">
        <v>0.07489</v>
      </c>
      <c r="AA13" s="3" t="n">
        <v>2.013</v>
      </c>
      <c r="AB13" s="3" t="n">
        <v>0.0954</v>
      </c>
      <c r="AC13" s="5" t="n">
        <v>0.4077</v>
      </c>
      <c r="AD13" s="3" t="n">
        <v>29</v>
      </c>
      <c r="AE13" s="3" t="s">
        <v>369</v>
      </c>
    </row>
    <row r="14" customFormat="false" ht="15" hidden="false" customHeight="true" outlineLevel="0" collapsed="false">
      <c r="A14" s="3" t="s">
        <v>70</v>
      </c>
      <c r="B14" s="3" t="s">
        <v>71</v>
      </c>
      <c r="C14" s="5" t="n">
        <v>0.2838</v>
      </c>
      <c r="D14" s="3" t="n">
        <v>1.767</v>
      </c>
      <c r="E14" s="3" t="n">
        <v>0.03199</v>
      </c>
      <c r="F14" s="5" t="n">
        <v>0.2866</v>
      </c>
      <c r="G14" s="3" t="n">
        <v>1.772</v>
      </c>
      <c r="H14" s="3" t="n">
        <v>0.04279</v>
      </c>
      <c r="I14" s="3"/>
      <c r="J14" s="3" t="s">
        <v>362</v>
      </c>
      <c r="K14" s="3" t="s">
        <v>354</v>
      </c>
      <c r="L14" s="3" t="s">
        <v>370</v>
      </c>
      <c r="M14" s="7" t="n">
        <v>4</v>
      </c>
      <c r="N14" s="3" t="s">
        <v>371</v>
      </c>
      <c r="O14" s="5" t="n">
        <v>0.593565088072869</v>
      </c>
      <c r="P14" s="5" t="n">
        <v>0.201923076137204</v>
      </c>
      <c r="Q14" s="5" t="n">
        <v>0.391642011935665</v>
      </c>
      <c r="R14" s="10" t="n">
        <v>39</v>
      </c>
      <c r="S14" s="10" t="n">
        <v>23</v>
      </c>
      <c r="T14" s="10" t="n">
        <v>10</v>
      </c>
      <c r="U14" s="10" t="n">
        <v>13</v>
      </c>
      <c r="V14" s="10" t="n">
        <v>25</v>
      </c>
      <c r="W14" s="10" t="n">
        <v>10</v>
      </c>
      <c r="X14" s="10" t="n">
        <v>15</v>
      </c>
      <c r="Y14" s="3" t="s">
        <v>73</v>
      </c>
      <c r="Z14" s="5" t="n">
        <v>0.2045</v>
      </c>
      <c r="AA14" s="3" t="n">
        <v>1.867</v>
      </c>
      <c r="AB14" s="3" t="n">
        <v>0.1239</v>
      </c>
      <c r="AC14" s="5" t="n">
        <v>0.5205</v>
      </c>
      <c r="AD14" s="3" t="n">
        <v>15</v>
      </c>
      <c r="AE14" s="3" t="s">
        <v>372</v>
      </c>
    </row>
    <row r="15" customFormat="false" ht="15" hidden="false" customHeight="true" outlineLevel="0" collapsed="false">
      <c r="A15" s="3" t="s">
        <v>75</v>
      </c>
      <c r="B15" s="3" t="s">
        <v>76</v>
      </c>
      <c r="C15" s="5" t="n">
        <v>0.01715</v>
      </c>
      <c r="D15" s="3" t="n">
        <v>2.024</v>
      </c>
      <c r="E15" s="3" t="n">
        <v>0.04064</v>
      </c>
      <c r="F15" s="5" t="n">
        <v>0.0211</v>
      </c>
      <c r="G15" s="3" t="n">
        <v>2.1</v>
      </c>
      <c r="H15" s="3" t="n">
        <v>0.05272</v>
      </c>
      <c r="I15" s="3"/>
      <c r="J15" s="3" t="s">
        <v>357</v>
      </c>
      <c r="K15" s="3" t="s">
        <v>358</v>
      </c>
      <c r="L15" s="3" t="s">
        <v>359</v>
      </c>
      <c r="M15" s="7" t="n">
        <v>1</v>
      </c>
      <c r="N15" s="3" t="s">
        <v>357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 t="s">
        <v>78</v>
      </c>
      <c r="Z15" s="5" t="n">
        <v>0.03856</v>
      </c>
      <c r="AA15" s="3" t="n">
        <v>2.371</v>
      </c>
      <c r="AB15" s="3" t="n">
        <v>0.219</v>
      </c>
      <c r="AC15" s="5" t="n">
        <v>0.3372</v>
      </c>
      <c r="AD15" s="3" t="n">
        <v>112.1</v>
      </c>
      <c r="AE15" s="3" t="s">
        <v>373</v>
      </c>
    </row>
    <row r="16" customFormat="false" ht="15" hidden="false" customHeight="true" outlineLevel="0" collapsed="false">
      <c r="A16" s="3" t="s">
        <v>80</v>
      </c>
      <c r="B16" s="3" t="s">
        <v>81</v>
      </c>
      <c r="C16" s="5" t="n">
        <v>0.01554</v>
      </c>
      <c r="D16" s="3" t="n">
        <v>2.147</v>
      </c>
      <c r="E16" s="3" t="n">
        <v>0.03979</v>
      </c>
      <c r="F16" s="5" t="n">
        <v>0.01869</v>
      </c>
      <c r="G16" s="3" t="n">
        <v>2.503</v>
      </c>
      <c r="H16" s="3" t="n">
        <v>0.05032</v>
      </c>
      <c r="I16" s="3"/>
      <c r="J16" s="3" t="s">
        <v>357</v>
      </c>
      <c r="K16" s="3" t="s">
        <v>358</v>
      </c>
      <c r="L16" s="3" t="s">
        <v>359</v>
      </c>
      <c r="M16" s="7" t="n">
        <v>2</v>
      </c>
      <c r="N16" s="3" t="s">
        <v>357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 t="s">
        <v>83</v>
      </c>
      <c r="Z16" s="5" t="n">
        <v>0.09541</v>
      </c>
      <c r="AA16" s="3" t="n">
        <v>2.08</v>
      </c>
      <c r="AB16" s="3" t="n">
        <v>0.1151</v>
      </c>
      <c r="AC16" s="5" t="n">
        <v>0.6366</v>
      </c>
      <c r="AD16" s="3" t="n">
        <v>217</v>
      </c>
      <c r="AE16" s="3" t="s">
        <v>368</v>
      </c>
    </row>
    <row r="17" customFormat="false" ht="15" hidden="false" customHeight="true" outlineLevel="0" collapsed="false">
      <c r="A17" s="3" t="s">
        <v>85</v>
      </c>
      <c r="B17" s="3" t="s">
        <v>86</v>
      </c>
      <c r="C17" s="5" t="n">
        <v>0.01569</v>
      </c>
      <c r="D17" s="3" t="n">
        <v>1.955</v>
      </c>
      <c r="E17" s="3" t="n">
        <v>0.04176</v>
      </c>
      <c r="F17" s="5" t="n">
        <v>0.01608</v>
      </c>
      <c r="G17" s="3" t="n">
        <v>1.984</v>
      </c>
      <c r="H17" s="3" t="n">
        <v>0.05582</v>
      </c>
      <c r="I17" s="3"/>
      <c r="J17" s="3" t="s">
        <v>357</v>
      </c>
      <c r="K17" s="3" t="s">
        <v>358</v>
      </c>
      <c r="L17" s="3" t="s">
        <v>359</v>
      </c>
      <c r="M17" s="7" t="n">
        <v>1</v>
      </c>
      <c r="N17" s="3" t="s">
        <v>357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 t="s">
        <v>88</v>
      </c>
      <c r="Z17" s="5" t="n">
        <v>0.1048</v>
      </c>
      <c r="AA17" s="3" t="n">
        <v>1.815</v>
      </c>
      <c r="AB17" s="3" t="n">
        <v>0.0843</v>
      </c>
      <c r="AC17" s="5" t="n">
        <v>0.2657</v>
      </c>
      <c r="AD17" s="3" t="n">
        <v>131</v>
      </c>
      <c r="AE17" s="3" t="s">
        <v>365</v>
      </c>
    </row>
    <row r="18" customFormat="false" ht="15" hidden="false" customHeight="true" outlineLevel="0" collapsed="false">
      <c r="A18" s="3" t="s">
        <v>90</v>
      </c>
      <c r="B18" s="3" t="s">
        <v>91</v>
      </c>
      <c r="C18" s="5" t="n">
        <v>0.07153</v>
      </c>
      <c r="D18" s="3" t="n">
        <v>2.172</v>
      </c>
      <c r="E18" s="3" t="n">
        <v>0.04502</v>
      </c>
      <c r="F18" s="5" t="n">
        <v>0.06289</v>
      </c>
      <c r="G18" s="3" t="n">
        <v>2.531</v>
      </c>
      <c r="H18" s="3" t="n">
        <v>0.0602</v>
      </c>
      <c r="I18" s="3"/>
      <c r="J18" s="3" t="s">
        <v>353</v>
      </c>
      <c r="K18" s="3" t="s">
        <v>354</v>
      </c>
      <c r="L18" s="3" t="s">
        <v>355</v>
      </c>
      <c r="M18" s="7" t="n">
        <v>0</v>
      </c>
      <c r="N18" s="3" t="s">
        <v>361</v>
      </c>
      <c r="O18" s="5" t="n">
        <v>0.642830677260978</v>
      </c>
      <c r="P18" s="5" t="n">
        <v>0.356428306053825</v>
      </c>
      <c r="Q18" s="5" t="n">
        <v>0.286402371207153</v>
      </c>
      <c r="R18" s="10" t="n">
        <v>45</v>
      </c>
      <c r="S18" s="10" t="n">
        <v>25</v>
      </c>
      <c r="T18" s="10" t="n">
        <v>13</v>
      </c>
      <c r="U18" s="10" t="n">
        <v>12</v>
      </c>
      <c r="V18" s="10" t="n">
        <v>26</v>
      </c>
      <c r="W18" s="10" t="n">
        <v>14</v>
      </c>
      <c r="X18" s="10" t="n">
        <v>12</v>
      </c>
      <c r="Y18" s="3" t="s">
        <v>93</v>
      </c>
      <c r="Z18" s="5" t="n">
        <v>0.05915</v>
      </c>
      <c r="AA18" s="3" t="n">
        <v>2.114</v>
      </c>
      <c r="AB18" s="3" t="n">
        <v>0.0883</v>
      </c>
      <c r="AC18" s="5" t="n">
        <v>0.3363</v>
      </c>
      <c r="AD18" s="3" t="n">
        <v>393</v>
      </c>
      <c r="AE18" s="3" t="s">
        <v>365</v>
      </c>
    </row>
    <row r="19" customFormat="false" ht="15" hidden="false" customHeight="true" outlineLevel="0" collapsed="false">
      <c r="A19" s="3" t="s">
        <v>95</v>
      </c>
      <c r="B19" s="3" t="s">
        <v>96</v>
      </c>
      <c r="C19" s="5" t="n">
        <v>0.02337</v>
      </c>
      <c r="D19" s="3" t="n">
        <v>2.375</v>
      </c>
      <c r="E19" s="3" t="n">
        <v>0.04009</v>
      </c>
      <c r="F19" s="5" t="n">
        <v>0.05649</v>
      </c>
      <c r="G19" s="3" t="n">
        <v>2.089</v>
      </c>
      <c r="H19" s="3" t="n">
        <v>0.04723</v>
      </c>
      <c r="I19" s="3" t="s">
        <v>360</v>
      </c>
      <c r="J19" s="3" t="s">
        <v>357</v>
      </c>
      <c r="K19" s="3" t="s">
        <v>358</v>
      </c>
      <c r="L19" s="3" t="s">
        <v>359</v>
      </c>
      <c r="M19" s="7" t="n">
        <v>0</v>
      </c>
      <c r="N19" s="3" t="s">
        <v>361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 t="s">
        <v>98</v>
      </c>
      <c r="Z19" s="5" t="n">
        <v>0.07498</v>
      </c>
      <c r="AA19" s="3" t="n">
        <v>2.09</v>
      </c>
      <c r="AB19" s="3" t="n">
        <v>0.0929</v>
      </c>
      <c r="AC19" s="5" t="n">
        <v>0.6571</v>
      </c>
      <c r="AD19" s="3" t="n">
        <v>438</v>
      </c>
      <c r="AE19" s="3" t="s">
        <v>368</v>
      </c>
    </row>
    <row r="20" customFormat="false" ht="15" hidden="false" customHeight="true" outlineLevel="0" collapsed="false">
      <c r="A20" s="3" t="s">
        <v>100</v>
      </c>
      <c r="B20" s="3" t="s">
        <v>101</v>
      </c>
      <c r="C20" s="5" t="n">
        <v>0.02511</v>
      </c>
      <c r="D20" s="3" t="n">
        <v>2.156</v>
      </c>
      <c r="E20" s="3" t="n">
        <v>0.04279</v>
      </c>
      <c r="F20" s="5" t="n">
        <v>0.02867</v>
      </c>
      <c r="G20" s="3" t="n">
        <v>2.183</v>
      </c>
      <c r="H20" s="3" t="n">
        <v>0.05481</v>
      </c>
      <c r="I20" s="3"/>
      <c r="J20" s="3" t="s">
        <v>357</v>
      </c>
      <c r="K20" s="3" t="s">
        <v>358</v>
      </c>
      <c r="L20" s="3" t="s">
        <v>359</v>
      </c>
      <c r="M20" s="7" t="n">
        <v>1</v>
      </c>
      <c r="N20" s="3" t="s">
        <v>357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 t="s">
        <v>103</v>
      </c>
      <c r="Z20" s="5" t="n">
        <v>0.03326</v>
      </c>
      <c r="AA20" s="3" t="n">
        <v>2.771</v>
      </c>
      <c r="AB20" s="3" t="n">
        <v>0.1209</v>
      </c>
      <c r="AC20" s="5" t="n">
        <v>0.2343</v>
      </c>
      <c r="AD20" s="3" t="n">
        <v>54</v>
      </c>
      <c r="AE20" s="3" t="s">
        <v>365</v>
      </c>
    </row>
    <row r="21" customFormat="false" ht="15" hidden="false" customHeight="true" outlineLevel="0" collapsed="false">
      <c r="A21" s="3" t="s">
        <v>105</v>
      </c>
      <c r="B21" s="3" t="s">
        <v>106</v>
      </c>
      <c r="C21" s="5" t="n">
        <v>0.2478</v>
      </c>
      <c r="D21" s="3" t="n">
        <v>2.598</v>
      </c>
      <c r="E21" s="3" t="n">
        <v>0.0434</v>
      </c>
      <c r="F21" s="5" t="n">
        <v>0.217</v>
      </c>
      <c r="G21" s="3" t="n">
        <v>2.412</v>
      </c>
      <c r="H21" s="3" t="n">
        <v>0.05356</v>
      </c>
      <c r="I21" s="3"/>
      <c r="J21" s="3" t="s">
        <v>362</v>
      </c>
      <c r="K21" s="3" t="s">
        <v>354</v>
      </c>
      <c r="L21" s="3" t="s">
        <v>370</v>
      </c>
      <c r="M21" s="7" t="n">
        <v>8</v>
      </c>
      <c r="N21" s="3" t="s">
        <v>371</v>
      </c>
      <c r="O21" s="5" t="n">
        <v>0.814842027335975</v>
      </c>
      <c r="P21" s="5" t="n">
        <v>0.493387214999587</v>
      </c>
      <c r="Q21" s="5" t="n">
        <v>0.321454812336388</v>
      </c>
      <c r="R21" s="10" t="n">
        <v>41</v>
      </c>
      <c r="S21" s="10" t="n">
        <v>33</v>
      </c>
      <c r="T21" s="10" t="n">
        <v>21</v>
      </c>
      <c r="U21" s="10" t="n">
        <v>12</v>
      </c>
      <c r="V21" s="10" t="n">
        <v>34</v>
      </c>
      <c r="W21" s="10" t="n">
        <v>22</v>
      </c>
      <c r="X21" s="10" t="n">
        <v>12</v>
      </c>
      <c r="Y21" s="3" t="s">
        <v>108</v>
      </c>
      <c r="Z21" s="5" t="n">
        <v>0.4607</v>
      </c>
      <c r="AA21" s="3" t="n">
        <v>2.561</v>
      </c>
      <c r="AB21" s="3" t="n">
        <v>0.0729</v>
      </c>
      <c r="AC21" s="5" t="n">
        <v>0.1572</v>
      </c>
      <c r="AD21" s="3" t="n">
        <v>260</v>
      </c>
      <c r="AE21" s="3" t="s">
        <v>365</v>
      </c>
    </row>
    <row r="22" customFormat="false" ht="15" hidden="false" customHeight="true" outlineLevel="0" collapsed="false">
      <c r="A22" s="3" t="s">
        <v>110</v>
      </c>
      <c r="B22" s="3" t="s">
        <v>111</v>
      </c>
      <c r="C22" s="5" t="n">
        <v>0.3281</v>
      </c>
      <c r="D22" s="3" t="n">
        <v>2.065</v>
      </c>
      <c r="E22" s="3" t="n">
        <v>0.0369</v>
      </c>
      <c r="F22" s="5" t="n">
        <v>0.3259</v>
      </c>
      <c r="G22" s="3" t="n">
        <v>2.06</v>
      </c>
      <c r="H22" s="3" t="n">
        <v>0.04788</v>
      </c>
      <c r="I22" s="3"/>
      <c r="J22" s="3" t="s">
        <v>362</v>
      </c>
      <c r="K22" s="3" t="s">
        <v>354</v>
      </c>
      <c r="L22" s="3" t="s">
        <v>355</v>
      </c>
      <c r="M22" s="7" t="n">
        <v>0</v>
      </c>
      <c r="N22" s="3" t="s">
        <v>361</v>
      </c>
      <c r="O22" s="5" t="n">
        <v>0.354336540975359</v>
      </c>
      <c r="P22" s="5" t="n">
        <v>0.200518901641993</v>
      </c>
      <c r="Q22" s="5" t="n">
        <v>0.153817639333367</v>
      </c>
      <c r="R22" s="10" t="n">
        <v>58</v>
      </c>
      <c r="S22" s="10" t="n">
        <v>14</v>
      </c>
      <c r="T22" s="10" t="n">
        <v>10</v>
      </c>
      <c r="U22" s="10" t="n">
        <v>4</v>
      </c>
      <c r="V22" s="10" t="n">
        <v>18</v>
      </c>
      <c r="W22" s="10" t="n">
        <v>11</v>
      </c>
      <c r="X22" s="10" t="n">
        <v>7</v>
      </c>
      <c r="Y22" s="3" t="s">
        <v>113</v>
      </c>
      <c r="Z22" s="5" t="n">
        <v>0.4477</v>
      </c>
      <c r="AA22" s="3" t="n">
        <v>1.945</v>
      </c>
      <c r="AB22" s="3" t="n">
        <v>0.1135</v>
      </c>
      <c r="AC22" s="5" t="n">
        <v>0.5372</v>
      </c>
      <c r="AD22" s="3" t="n">
        <v>241</v>
      </c>
      <c r="AE22" s="3" t="s">
        <v>368</v>
      </c>
    </row>
    <row r="23" customFormat="false" ht="15" hidden="false" customHeight="true" outlineLevel="0" collapsed="false">
      <c r="A23" s="3" t="s">
        <v>115</v>
      </c>
      <c r="B23" s="3" t="s">
        <v>116</v>
      </c>
      <c r="C23" s="5" t="n">
        <v>0.03636</v>
      </c>
      <c r="D23" s="3" t="n">
        <v>2.357</v>
      </c>
      <c r="E23" s="3" t="n">
        <v>0.04753</v>
      </c>
      <c r="F23" s="5" t="n">
        <v>0.06827</v>
      </c>
      <c r="G23" s="3" t="n">
        <v>2.136</v>
      </c>
      <c r="H23" s="3" t="n">
        <v>0.06149</v>
      </c>
      <c r="I23" s="3"/>
      <c r="J23" s="3" t="s">
        <v>353</v>
      </c>
      <c r="K23" s="3" t="s">
        <v>354</v>
      </c>
      <c r="L23" s="3" t="s">
        <v>355</v>
      </c>
      <c r="M23" s="7" t="n">
        <v>1</v>
      </c>
      <c r="N23" s="3" t="s">
        <v>356</v>
      </c>
      <c r="O23" s="5" t="n">
        <v>0.342690483399962</v>
      </c>
      <c r="P23" s="5" t="n">
        <v>0.216915784885638</v>
      </c>
      <c r="Q23" s="5" t="n">
        <v>0.125774698514324</v>
      </c>
      <c r="R23" s="10" t="n">
        <v>32</v>
      </c>
      <c r="S23" s="10" t="n">
        <v>13</v>
      </c>
      <c r="T23" s="10" t="n">
        <v>7</v>
      </c>
      <c r="U23" s="10" t="n">
        <v>6</v>
      </c>
      <c r="V23" s="10" t="n">
        <v>17</v>
      </c>
      <c r="W23" s="10" t="n">
        <v>10</v>
      </c>
      <c r="X23" s="10" t="n">
        <v>7</v>
      </c>
      <c r="Y23" s="3"/>
      <c r="Z23" s="3"/>
      <c r="AA23" s="3"/>
      <c r="AB23" s="3"/>
      <c r="AC23" s="3"/>
      <c r="AD23" s="3"/>
      <c r="AE23" s="3"/>
    </row>
    <row r="24" customFormat="false" ht="15" hidden="false" customHeight="true" outlineLevel="0" collapsed="false">
      <c r="A24" s="3" t="s">
        <v>118</v>
      </c>
      <c r="B24" s="3" t="s">
        <v>119</v>
      </c>
      <c r="C24" s="5" t="n">
        <v>0.01195</v>
      </c>
      <c r="D24" s="3" t="n">
        <v>2.198</v>
      </c>
      <c r="E24" s="3" t="n">
        <v>0.04374</v>
      </c>
      <c r="F24" s="5" t="n">
        <v>0.01586</v>
      </c>
      <c r="G24" s="3" t="n">
        <v>2.164</v>
      </c>
      <c r="H24" s="3" t="n">
        <v>0.05522</v>
      </c>
      <c r="I24" s="3"/>
      <c r="J24" s="3" t="s">
        <v>357</v>
      </c>
      <c r="K24" s="3" t="s">
        <v>358</v>
      </c>
      <c r="L24" s="3" t="s">
        <v>359</v>
      </c>
      <c r="M24" s="7" t="n">
        <v>3</v>
      </c>
      <c r="N24" s="3" t="s">
        <v>357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customFormat="false" ht="15" hidden="false" customHeight="true" outlineLevel="0" collapsed="false">
      <c r="A25" s="3" t="s">
        <v>121</v>
      </c>
      <c r="B25" s="3" t="s">
        <v>122</v>
      </c>
      <c r="C25" s="5" t="n">
        <v>0.01944</v>
      </c>
      <c r="D25" s="3" t="n">
        <v>2.438</v>
      </c>
      <c r="E25" s="3" t="n">
        <v>0.04999</v>
      </c>
      <c r="F25" s="5" t="n">
        <v>0.02718</v>
      </c>
      <c r="G25" s="3" t="n">
        <v>2.222</v>
      </c>
      <c r="H25" s="3" t="n">
        <v>0.0627</v>
      </c>
      <c r="I25" s="3"/>
      <c r="J25" s="3" t="s">
        <v>357</v>
      </c>
      <c r="K25" s="3" t="s">
        <v>358</v>
      </c>
      <c r="L25" s="3" t="s">
        <v>359</v>
      </c>
      <c r="M25" s="7" t="n">
        <v>0</v>
      </c>
      <c r="N25" s="3" t="s">
        <v>361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customFormat="false" ht="15" hidden="false" customHeight="true" outlineLevel="0" collapsed="false">
      <c r="A26" s="3" t="s">
        <v>124</v>
      </c>
      <c r="B26" s="3" t="s">
        <v>125</v>
      </c>
      <c r="C26" s="5" t="n">
        <v>0.04876</v>
      </c>
      <c r="D26" s="3" t="n">
        <v>2.035</v>
      </c>
      <c r="E26" s="3" t="n">
        <v>0.05087</v>
      </c>
      <c r="F26" s="5" t="n">
        <v>0.04502</v>
      </c>
      <c r="G26" s="3" t="n">
        <v>1.901</v>
      </c>
      <c r="H26" s="3" t="n">
        <v>0.0613</v>
      </c>
      <c r="I26" s="3"/>
      <c r="J26" s="3" t="s">
        <v>353</v>
      </c>
      <c r="K26" s="3" t="s">
        <v>354</v>
      </c>
      <c r="L26" s="3" t="s">
        <v>355</v>
      </c>
      <c r="M26" s="7" t="n">
        <v>0</v>
      </c>
      <c r="N26" s="3" t="s">
        <v>361</v>
      </c>
      <c r="O26" s="5" t="n">
        <v>0.236237693605398</v>
      </c>
      <c r="P26" s="5" t="n">
        <v>0.140357271779596</v>
      </c>
      <c r="Q26" s="5" t="n">
        <v>0.0958804218258015</v>
      </c>
      <c r="R26" s="10" t="n">
        <v>32</v>
      </c>
      <c r="S26" s="10" t="n">
        <v>10</v>
      </c>
      <c r="T26" s="10" t="n">
        <v>5</v>
      </c>
      <c r="U26" s="10" t="n">
        <v>5</v>
      </c>
      <c r="V26" s="10" t="n">
        <v>12</v>
      </c>
      <c r="W26" s="10" t="n">
        <v>7</v>
      </c>
      <c r="X26" s="10" t="n">
        <v>5</v>
      </c>
      <c r="Y26" s="3"/>
      <c r="Z26" s="3"/>
      <c r="AA26" s="3"/>
      <c r="AB26" s="3"/>
      <c r="AC26" s="3"/>
      <c r="AD26" s="3"/>
      <c r="AE26" s="3"/>
    </row>
    <row r="27" customFormat="false" ht="15" hidden="false" customHeight="true" outlineLevel="0" collapsed="false">
      <c r="A27" s="3" t="s">
        <v>128</v>
      </c>
      <c r="B27" s="3" t="s">
        <v>129</v>
      </c>
      <c r="C27" s="5" t="n">
        <v>0.06386</v>
      </c>
      <c r="D27" s="3" t="n">
        <v>2.209</v>
      </c>
      <c r="E27" s="3" t="n">
        <v>0.04029</v>
      </c>
      <c r="F27" s="5" t="n">
        <v>0.1116</v>
      </c>
      <c r="G27" s="3" t="n">
        <v>2.11</v>
      </c>
      <c r="H27" s="3" t="n">
        <v>0.05163</v>
      </c>
      <c r="I27" s="3"/>
      <c r="J27" s="3" t="s">
        <v>353</v>
      </c>
      <c r="K27" s="3" t="s">
        <v>354</v>
      </c>
      <c r="L27" s="3" t="s">
        <v>355</v>
      </c>
      <c r="M27" s="7" t="n">
        <v>1</v>
      </c>
      <c r="N27" s="3" t="s">
        <v>356</v>
      </c>
      <c r="O27" s="5" t="n">
        <v>0.395916878266742</v>
      </c>
      <c r="P27" s="5" t="n">
        <v>0.368209989176041</v>
      </c>
      <c r="Q27" s="5" t="n">
        <v>0.027706889090701</v>
      </c>
      <c r="R27" s="10" t="n">
        <v>28</v>
      </c>
      <c r="S27" s="10" t="n">
        <v>15</v>
      </c>
      <c r="T27" s="10" t="n">
        <v>14</v>
      </c>
      <c r="U27" s="10" t="n">
        <v>1</v>
      </c>
      <c r="V27" s="10" t="n">
        <v>15</v>
      </c>
      <c r="W27" s="10" t="n">
        <v>14</v>
      </c>
      <c r="X27" s="10" t="n">
        <v>1</v>
      </c>
      <c r="Y27" s="3"/>
      <c r="Z27" s="3"/>
      <c r="AA27" s="3"/>
      <c r="AB27" s="3"/>
      <c r="AC27" s="3"/>
      <c r="AD27" s="3"/>
      <c r="AE27" s="3"/>
    </row>
    <row r="28" customFormat="false" ht="15" hidden="false" customHeight="true" outlineLevel="0" collapsed="false">
      <c r="A28" s="3" t="s">
        <v>131</v>
      </c>
      <c r="B28" s="3" t="s">
        <v>132</v>
      </c>
      <c r="C28" s="5" t="n">
        <v>0.6033</v>
      </c>
      <c r="D28" s="3" t="n">
        <v>2.002</v>
      </c>
      <c r="E28" s="3" t="n">
        <v>0.03558</v>
      </c>
      <c r="F28" s="5" t="n">
        <v>0.3059</v>
      </c>
      <c r="G28" s="3" t="n">
        <v>2.01</v>
      </c>
      <c r="H28" s="3" t="n">
        <v>0.04673</v>
      </c>
      <c r="I28" s="3" t="s">
        <v>367</v>
      </c>
      <c r="J28" s="3" t="s">
        <v>366</v>
      </c>
      <c r="K28" s="3" t="s">
        <v>354</v>
      </c>
      <c r="L28" s="3" t="s">
        <v>355</v>
      </c>
      <c r="M28" s="7" t="n">
        <v>0</v>
      </c>
      <c r="N28" s="3" t="s">
        <v>361</v>
      </c>
      <c r="O28" s="5" t="n">
        <v>0.0833026166602517</v>
      </c>
      <c r="P28" s="5" t="n">
        <v>0.0781422778751989</v>
      </c>
      <c r="Q28" s="5" t="n">
        <v>0.00516033878505276</v>
      </c>
      <c r="R28" s="10" t="n">
        <v>24</v>
      </c>
      <c r="S28" s="10" t="n">
        <v>3</v>
      </c>
      <c r="T28" s="10" t="n">
        <v>3</v>
      </c>
      <c r="U28" s="10" t="n">
        <v>0</v>
      </c>
      <c r="V28" s="10" t="n">
        <v>3</v>
      </c>
      <c r="W28" s="10" t="n">
        <v>3</v>
      </c>
      <c r="X28" s="10" t="n">
        <v>0</v>
      </c>
      <c r="Y28" s="3"/>
      <c r="Z28" s="3"/>
      <c r="AA28" s="3"/>
      <c r="AB28" s="3"/>
      <c r="AC28" s="3"/>
      <c r="AD28" s="3"/>
      <c r="AE28" s="3"/>
    </row>
    <row r="29" customFormat="false" ht="15" hidden="false" customHeight="true" outlineLevel="0" collapsed="false">
      <c r="A29" s="3" t="s">
        <v>134</v>
      </c>
      <c r="B29" s="3" t="s">
        <v>135</v>
      </c>
      <c r="C29" s="5" t="n">
        <v>0.00859</v>
      </c>
      <c r="D29" s="3" t="n">
        <v>2.543</v>
      </c>
      <c r="E29" s="3" t="n">
        <v>0.05832</v>
      </c>
      <c r="F29" s="5" t="n">
        <v>0.01425</v>
      </c>
      <c r="G29" s="3" t="n">
        <v>2.209</v>
      </c>
      <c r="H29" s="3" t="n">
        <v>0.07074</v>
      </c>
      <c r="I29" s="3"/>
      <c r="J29" s="3" t="s">
        <v>357</v>
      </c>
      <c r="K29" s="3" t="s">
        <v>358</v>
      </c>
      <c r="L29" s="3" t="s">
        <v>359</v>
      </c>
      <c r="M29" s="7" t="n">
        <v>6</v>
      </c>
      <c r="N29" s="3" t="s">
        <v>357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customFormat="false" ht="15" hidden="false" customHeight="true" outlineLevel="0" collapsed="false">
      <c r="A30" s="3" t="s">
        <v>137</v>
      </c>
      <c r="B30" s="3" t="s">
        <v>138</v>
      </c>
      <c r="C30" s="5" t="n">
        <v>0.6228</v>
      </c>
      <c r="D30" s="3" t="n">
        <v>2.005</v>
      </c>
      <c r="E30" s="3" t="n">
        <v>0.03511</v>
      </c>
      <c r="F30" s="5" t="n">
        <v>0.6273</v>
      </c>
      <c r="G30" s="3" t="n">
        <v>2.007</v>
      </c>
      <c r="H30" s="3" t="n">
        <v>0.04135</v>
      </c>
      <c r="I30" s="3"/>
      <c r="J30" s="3" t="s">
        <v>366</v>
      </c>
      <c r="K30" s="3" t="s">
        <v>354</v>
      </c>
      <c r="L30" s="3" t="s">
        <v>355</v>
      </c>
      <c r="M30" s="7" t="n">
        <v>0</v>
      </c>
      <c r="N30" s="3" t="s">
        <v>361</v>
      </c>
      <c r="O30" s="5" t="n">
        <v>0.232739413895103</v>
      </c>
      <c r="P30" s="5" t="n">
        <v>0.0731254606885768</v>
      </c>
      <c r="Q30" s="5" t="n">
        <v>0.159613953206526</v>
      </c>
      <c r="R30" s="10" t="n">
        <v>56</v>
      </c>
      <c r="S30" s="10" t="n">
        <v>9</v>
      </c>
      <c r="T30" s="10" t="n">
        <v>2</v>
      </c>
      <c r="U30" s="10" t="n">
        <v>7</v>
      </c>
      <c r="V30" s="10" t="n">
        <v>13</v>
      </c>
      <c r="W30" s="10" t="n">
        <v>2</v>
      </c>
      <c r="X30" s="10" t="n">
        <v>11</v>
      </c>
      <c r="Y30" s="3"/>
      <c r="Z30" s="3"/>
      <c r="AA30" s="3"/>
      <c r="AB30" s="3"/>
      <c r="AC30" s="3"/>
      <c r="AD30" s="3"/>
      <c r="AE30" s="3"/>
    </row>
    <row r="31" customFormat="false" ht="15" hidden="false" customHeight="true" outlineLevel="0" collapsed="false">
      <c r="A31" s="3" t="s">
        <v>140</v>
      </c>
      <c r="B31" s="3" t="s">
        <v>141</v>
      </c>
      <c r="C31" s="5" t="n">
        <v>0.3612</v>
      </c>
      <c r="D31" s="3" t="n">
        <v>2.002</v>
      </c>
      <c r="E31" s="3" t="n">
        <v>0.03876</v>
      </c>
      <c r="F31" s="5" t="n">
        <v>0.3656</v>
      </c>
      <c r="G31" s="3" t="n">
        <v>1.984</v>
      </c>
      <c r="H31" s="3" t="n">
        <v>0.04704</v>
      </c>
      <c r="I31" s="3"/>
      <c r="J31" s="3" t="s">
        <v>362</v>
      </c>
      <c r="K31" s="3" t="s">
        <v>354</v>
      </c>
      <c r="L31" s="3" t="s">
        <v>370</v>
      </c>
      <c r="M31" s="7" t="n">
        <v>2</v>
      </c>
      <c r="N31" s="3" t="s">
        <v>374</v>
      </c>
      <c r="O31" s="5" t="n">
        <v>0.267161409109152</v>
      </c>
      <c r="P31" s="5" t="n">
        <v>0.131725417148502</v>
      </c>
      <c r="Q31" s="5" t="n">
        <v>0.13543599196065</v>
      </c>
      <c r="R31" s="10" t="n">
        <v>32</v>
      </c>
      <c r="S31" s="10" t="n">
        <v>8</v>
      </c>
      <c r="T31" s="10" t="n">
        <v>4</v>
      </c>
      <c r="U31" s="10" t="n">
        <v>4</v>
      </c>
      <c r="V31" s="10" t="n">
        <v>9</v>
      </c>
      <c r="W31" s="10" t="n">
        <v>4</v>
      </c>
      <c r="X31" s="10" t="n">
        <v>5</v>
      </c>
      <c r="Y31" s="3"/>
      <c r="Z31" s="3"/>
      <c r="AA31" s="3"/>
      <c r="AB31" s="3"/>
      <c r="AC31" s="3"/>
      <c r="AD31" s="3"/>
      <c r="AE31" s="3"/>
    </row>
    <row r="32" customFormat="false" ht="15" hidden="false" customHeight="true" outlineLevel="0" collapsed="false">
      <c r="A32" s="3" t="s">
        <v>144</v>
      </c>
      <c r="B32" s="3" t="s">
        <v>145</v>
      </c>
      <c r="C32" s="5" t="n">
        <v>0.01431</v>
      </c>
      <c r="D32" s="3" t="n">
        <v>2.408</v>
      </c>
      <c r="E32" s="3" t="n">
        <v>0.03755</v>
      </c>
      <c r="F32" s="5" t="n">
        <v>0.01635</v>
      </c>
      <c r="G32" s="3" t="n">
        <v>2.448</v>
      </c>
      <c r="H32" s="3" t="n">
        <v>0.04676</v>
      </c>
      <c r="I32" s="3"/>
      <c r="J32" s="3" t="s">
        <v>357</v>
      </c>
      <c r="K32" s="3" t="s">
        <v>358</v>
      </c>
      <c r="L32" s="3" t="s">
        <v>359</v>
      </c>
      <c r="M32" s="7" t="n">
        <v>1</v>
      </c>
      <c r="N32" s="3" t="s">
        <v>357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customFormat="false" ht="15" hidden="false" customHeight="true" outlineLevel="0" collapsed="false">
      <c r="A33" s="3" t="s">
        <v>147</v>
      </c>
      <c r="B33" s="3" t="s">
        <v>148</v>
      </c>
      <c r="C33" s="5" t="n">
        <v>0.00969</v>
      </c>
      <c r="D33" s="3" t="n">
        <v>2.352</v>
      </c>
      <c r="E33" s="3" t="n">
        <v>0.03643</v>
      </c>
      <c r="F33" s="5" t="n">
        <v>0.01646</v>
      </c>
      <c r="G33" s="3" t="n">
        <v>2.174</v>
      </c>
      <c r="H33" s="3" t="n">
        <v>0.04777</v>
      </c>
      <c r="I33" s="3"/>
      <c r="J33" s="3" t="s">
        <v>357</v>
      </c>
      <c r="K33" s="3" t="s">
        <v>358</v>
      </c>
      <c r="L33" s="3" t="s">
        <v>359</v>
      </c>
      <c r="M33" s="7" t="n">
        <v>3</v>
      </c>
      <c r="N33" s="3" t="s">
        <v>357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customFormat="false" ht="15" hidden="false" customHeight="true" outlineLevel="0" collapsed="false">
      <c r="A34" s="3" t="s">
        <v>150</v>
      </c>
      <c r="B34" s="3" t="s">
        <v>151</v>
      </c>
      <c r="C34" s="5" t="n">
        <v>0.0903</v>
      </c>
      <c r="D34" s="3" t="n">
        <v>2.831</v>
      </c>
      <c r="E34" s="3" t="n">
        <v>0.03469</v>
      </c>
      <c r="F34" s="5" t="n">
        <v>0.09578</v>
      </c>
      <c r="G34" s="3" t="n">
        <v>2.84</v>
      </c>
      <c r="H34" s="3" t="n">
        <v>0.04488</v>
      </c>
      <c r="I34" s="3"/>
      <c r="J34" s="3" t="s">
        <v>353</v>
      </c>
      <c r="K34" s="3" t="s">
        <v>358</v>
      </c>
      <c r="L34" s="3" t="s">
        <v>359</v>
      </c>
      <c r="M34" s="7" t="n">
        <v>10</v>
      </c>
      <c r="N34" s="3" t="s">
        <v>371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customFormat="false" ht="15" hidden="false" customHeight="true" outlineLevel="0" collapsed="false">
      <c r="A35" s="3" t="s">
        <v>153</v>
      </c>
      <c r="B35" s="3" t="s">
        <v>154</v>
      </c>
      <c r="C35" s="5" t="n">
        <v>0.01993</v>
      </c>
      <c r="D35" s="3" t="n">
        <v>2.327</v>
      </c>
      <c r="E35" s="3" t="n">
        <v>0.0394</v>
      </c>
      <c r="F35" s="5" t="n">
        <v>0.02559</v>
      </c>
      <c r="G35" s="3" t="n">
        <v>2.366</v>
      </c>
      <c r="H35" s="3" t="n">
        <v>0.05063</v>
      </c>
      <c r="I35" s="3"/>
      <c r="J35" s="3" t="s">
        <v>357</v>
      </c>
      <c r="K35" s="3" t="s">
        <v>358</v>
      </c>
      <c r="L35" s="3" t="s">
        <v>359</v>
      </c>
      <c r="M35" s="7" t="n">
        <v>1</v>
      </c>
      <c r="N35" s="3" t="s">
        <v>357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8"/>
    <col collapsed="false" customWidth="true" hidden="false" outlineLevel="0" max="4" min="3" style="1" width="13"/>
    <col collapsed="false" customWidth="true" hidden="false" outlineLevel="0" max="5" min="5" style="1" width="18"/>
    <col collapsed="false" customWidth="true" hidden="false" outlineLevel="0" max="7" min="6" style="1" width="12"/>
    <col collapsed="false" customWidth="true" hidden="false" outlineLevel="0" max="8" min="8" style="1" width="11"/>
    <col collapsed="false" customWidth="true" hidden="false" outlineLevel="0" max="9" min="9" style="1" width="13"/>
    <col collapsed="false" customWidth="true" hidden="false" outlineLevel="0" max="10" min="10" style="1" width="14"/>
    <col collapsed="false" customWidth="true" hidden="false" outlineLevel="0" max="11" min="11" style="1" width="16"/>
    <col collapsed="false" customWidth="true" hidden="false" outlineLevel="0" max="12" min="12" style="1" width="18"/>
    <col collapsed="false" customWidth="true" hidden="false" outlineLevel="0" max="13" min="13" style="1" width="14"/>
    <col collapsed="false" customWidth="true" hidden="false" outlineLevel="0" max="14" min="14" style="1" width="10"/>
    <col collapsed="false" customWidth="true" hidden="false" outlineLevel="0" max="15" min="15" style="1" width="22"/>
    <col collapsed="false" customWidth="true" hidden="false" outlineLevel="0" max="16" min="16" style="1" width="35"/>
  </cols>
  <sheetData>
    <row r="1" customFormat="false" ht="23.25" hidden="false" customHeight="true" outlineLevel="0" collapsed="false">
      <c r="A1" s="2" t="s">
        <v>0</v>
      </c>
      <c r="B1" s="2" t="s">
        <v>375</v>
      </c>
      <c r="C1" s="2" t="s">
        <v>376</v>
      </c>
      <c r="D1" s="2" t="s">
        <v>377</v>
      </c>
      <c r="E1" s="2" t="s">
        <v>378</v>
      </c>
      <c r="F1" s="2" t="s">
        <v>379</v>
      </c>
      <c r="G1" s="2" t="s">
        <v>380</v>
      </c>
      <c r="H1" s="2" t="s">
        <v>381</v>
      </c>
      <c r="I1" s="2" t="s">
        <v>382</v>
      </c>
      <c r="J1" s="2" t="s">
        <v>383</v>
      </c>
      <c r="K1" s="2" t="s">
        <v>384</v>
      </c>
      <c r="L1" s="2" t="s">
        <v>385</v>
      </c>
      <c r="M1" s="2" t="s">
        <v>386</v>
      </c>
      <c r="N1" s="2" t="s">
        <v>387</v>
      </c>
      <c r="O1" s="2" t="s">
        <v>388</v>
      </c>
      <c r="P1" s="2" t="s">
        <v>389</v>
      </c>
    </row>
    <row r="2" customFormat="false" ht="15" hidden="false" customHeight="false" outlineLevel="0" collapsed="false">
      <c r="A2" s="3" t="s">
        <v>11</v>
      </c>
      <c r="B2" s="3" t="s">
        <v>390</v>
      </c>
      <c r="C2" s="3" t="n">
        <v>0.063</v>
      </c>
      <c r="D2" s="3" t="n">
        <v>1.6</v>
      </c>
      <c r="E2" s="3" t="n">
        <v>0.83</v>
      </c>
      <c r="F2" s="3" t="n">
        <v>0.2055</v>
      </c>
      <c r="G2" s="3" t="n">
        <v>1</v>
      </c>
      <c r="H2" s="11" t="b">
        <f aca="false">FALSE()</f>
        <v>0</v>
      </c>
      <c r="I2" s="3" t="s">
        <v>391</v>
      </c>
      <c r="J2" s="3" t="n">
        <v>148</v>
      </c>
      <c r="K2" s="3" t="n">
        <v>148</v>
      </c>
      <c r="L2" s="3"/>
      <c r="M2" s="3" t="n">
        <v>0.767</v>
      </c>
      <c r="N2" s="3" t="s">
        <v>392</v>
      </c>
      <c r="O2" s="3" t="s">
        <v>393</v>
      </c>
      <c r="P2" s="3"/>
    </row>
    <row r="3" customFormat="false" ht="15" hidden="false" customHeight="false" outlineLevel="0" collapsed="false">
      <c r="A3" s="3" t="s">
        <v>18</v>
      </c>
      <c r="B3" s="3" t="s">
        <v>390</v>
      </c>
      <c r="C3" s="3" t="n">
        <v>0.054</v>
      </c>
      <c r="D3" s="3" t="n">
        <v>2.5</v>
      </c>
      <c r="E3" s="3" t="n">
        <v>0.53</v>
      </c>
      <c r="F3" s="3" t="n">
        <v>0.1515</v>
      </c>
      <c r="G3" s="3" t="n">
        <v>1</v>
      </c>
      <c r="H3" s="11" t="b">
        <f aca="false">FALSE()</f>
        <v>0</v>
      </c>
      <c r="I3" s="3" t="s">
        <v>391</v>
      </c>
      <c r="J3" s="3" t="n">
        <v>128</v>
      </c>
      <c r="K3" s="3" t="n">
        <v>128</v>
      </c>
      <c r="L3" s="3"/>
      <c r="M3" s="3" t="n">
        <v>0.476</v>
      </c>
      <c r="N3" s="3" t="s">
        <v>392</v>
      </c>
      <c r="O3" s="3" t="s">
        <v>393</v>
      </c>
      <c r="P3" s="3"/>
    </row>
    <row r="4" customFormat="false" ht="15" hidden="false" customHeight="false" outlineLevel="0" collapsed="false">
      <c r="A4" s="3" t="s">
        <v>22</v>
      </c>
      <c r="B4" s="3" t="s">
        <v>390</v>
      </c>
      <c r="C4" s="3" t="n">
        <v>0.019</v>
      </c>
      <c r="D4" s="3" t="n">
        <v>2.9</v>
      </c>
      <c r="E4" s="3" t="n">
        <v>0.33</v>
      </c>
      <c r="F4" s="3" t="n">
        <v>0.1909</v>
      </c>
      <c r="G4" s="3" t="n">
        <v>1</v>
      </c>
      <c r="H4" s="11" t="b">
        <f aca="false">FALSE()</f>
        <v>0</v>
      </c>
      <c r="I4" s="3" t="s">
        <v>391</v>
      </c>
      <c r="J4" s="3" t="n">
        <v>142</v>
      </c>
      <c r="K4" s="3" t="n">
        <v>142</v>
      </c>
      <c r="L4" s="3"/>
      <c r="M4" s="3" t="n">
        <v>0.311</v>
      </c>
      <c r="N4" s="3" t="s">
        <v>392</v>
      </c>
      <c r="O4" s="3" t="s">
        <v>393</v>
      </c>
      <c r="P4" s="3" t="s">
        <v>394</v>
      </c>
    </row>
    <row r="5" customFormat="false" ht="15" hidden="false" customHeight="false" outlineLevel="0" collapsed="false">
      <c r="A5" s="3" t="s">
        <v>26</v>
      </c>
      <c r="B5" s="3" t="s">
        <v>390</v>
      </c>
      <c r="C5" s="3" t="n">
        <v>0.029</v>
      </c>
      <c r="D5" s="3" t="n">
        <v>1.85</v>
      </c>
      <c r="E5" s="3" t="n">
        <v>0.78</v>
      </c>
      <c r="F5" s="3" t="n">
        <v>0.1945</v>
      </c>
      <c r="G5" s="3" t="n">
        <v>1</v>
      </c>
      <c r="H5" s="11" t="b">
        <f aca="false">FALSE()</f>
        <v>0</v>
      </c>
      <c r="I5" s="3" t="s">
        <v>391</v>
      </c>
      <c r="J5" s="3" t="n">
        <v>143</v>
      </c>
      <c r="K5" s="3" t="n">
        <v>143</v>
      </c>
      <c r="L5" s="3"/>
      <c r="M5" s="3" t="n">
        <v>0.751</v>
      </c>
      <c r="N5" s="3" t="s">
        <v>392</v>
      </c>
      <c r="O5" s="3" t="s">
        <v>393</v>
      </c>
      <c r="P5" s="3" t="s">
        <v>394</v>
      </c>
    </row>
    <row r="6" customFormat="false" ht="15" hidden="false" customHeight="false" outlineLevel="0" collapsed="false">
      <c r="A6" s="3" t="s">
        <v>30</v>
      </c>
      <c r="B6" s="3" t="s">
        <v>390</v>
      </c>
      <c r="C6" s="3" t="n">
        <v>0.038</v>
      </c>
      <c r="D6" s="3" t="n">
        <v>1.7</v>
      </c>
      <c r="E6" s="3" t="n">
        <v>0.81</v>
      </c>
      <c r="F6" s="3" t="n">
        <v>0.1779</v>
      </c>
      <c r="G6" s="3" t="n">
        <v>1</v>
      </c>
      <c r="H6" s="11" t="b">
        <f aca="false">FALSE()</f>
        <v>0</v>
      </c>
      <c r="I6" s="3" t="s">
        <v>391</v>
      </c>
      <c r="J6" s="3" t="n">
        <v>124</v>
      </c>
      <c r="K6" s="3" t="n">
        <v>124</v>
      </c>
      <c r="L6" s="3"/>
      <c r="M6" s="3" t="n">
        <v>0.772</v>
      </c>
      <c r="N6" s="3" t="s">
        <v>392</v>
      </c>
      <c r="O6" s="3" t="s">
        <v>393</v>
      </c>
      <c r="P6" s="3"/>
    </row>
    <row r="7" customFormat="false" ht="15" hidden="false" customHeight="false" outlineLevel="0" collapsed="false">
      <c r="A7" s="3" t="s">
        <v>33</v>
      </c>
      <c r="B7" s="3" t="s">
        <v>395</v>
      </c>
      <c r="C7" s="3" t="n">
        <v>0.172</v>
      </c>
      <c r="D7" s="3" t="n">
        <v>1.75</v>
      </c>
      <c r="E7" s="3" t="n">
        <v>0.8</v>
      </c>
      <c r="F7" s="3" t="n">
        <v>0.1617</v>
      </c>
      <c r="G7" s="3" t="n">
        <v>1</v>
      </c>
      <c r="H7" s="11" t="b">
        <f aca="false">FALSE()</f>
        <v>0</v>
      </c>
      <c r="I7" s="3" t="s">
        <v>391</v>
      </c>
      <c r="J7" s="3" t="n">
        <v>119</v>
      </c>
      <c r="K7" s="3" t="n">
        <v>119</v>
      </c>
      <c r="L7" s="3"/>
      <c r="M7" s="3" t="n">
        <v>0.628</v>
      </c>
      <c r="N7" s="3" t="s">
        <v>392</v>
      </c>
      <c r="O7" s="3" t="s">
        <v>393</v>
      </c>
      <c r="P7" s="3"/>
    </row>
    <row r="8" customFormat="false" ht="15" hidden="false" customHeight="false" outlineLevel="0" collapsed="false">
      <c r="A8" s="3" t="s">
        <v>38</v>
      </c>
      <c r="B8" s="3" t="s">
        <v>395</v>
      </c>
      <c r="C8" s="3" t="n">
        <v>0.045</v>
      </c>
      <c r="D8" s="3" t="n">
        <v>1.85</v>
      </c>
      <c r="E8" s="3" t="n">
        <v>0.81</v>
      </c>
      <c r="F8" s="3" t="n">
        <v>0.1905</v>
      </c>
      <c r="G8" s="3" t="n">
        <v>1</v>
      </c>
      <c r="H8" s="11" t="b">
        <f aca="false">FALSE()</f>
        <v>0</v>
      </c>
      <c r="I8" s="3" t="s">
        <v>391</v>
      </c>
      <c r="J8" s="3" t="n">
        <v>140</v>
      </c>
      <c r="K8" s="3" t="n">
        <v>140</v>
      </c>
      <c r="L8" s="3"/>
      <c r="M8" s="3" t="n">
        <v>0.765</v>
      </c>
      <c r="N8" s="3" t="s">
        <v>392</v>
      </c>
      <c r="O8" s="3" t="s">
        <v>393</v>
      </c>
      <c r="P8" s="3"/>
    </row>
    <row r="9" customFormat="false" ht="15" hidden="false" customHeight="false" outlineLevel="0" collapsed="false">
      <c r="A9" s="3" t="s">
        <v>43</v>
      </c>
      <c r="B9" s="3" t="s">
        <v>395</v>
      </c>
      <c r="C9" s="3" t="n">
        <v>0.084</v>
      </c>
      <c r="D9" s="3" t="n">
        <v>4.05</v>
      </c>
      <c r="E9" s="3" t="n">
        <v>0.13</v>
      </c>
      <c r="F9" s="3" t="n">
        <v>0.1501</v>
      </c>
      <c r="G9" s="3" t="n">
        <v>1</v>
      </c>
      <c r="H9" s="11" t="b">
        <f aca="false">FALSE()</f>
        <v>0</v>
      </c>
      <c r="I9" s="3" t="s">
        <v>391</v>
      </c>
      <c r="J9" s="3" t="n">
        <v>116</v>
      </c>
      <c r="K9" s="3" t="n">
        <v>116</v>
      </c>
      <c r="L9" s="3"/>
      <c r="M9" s="3" t="n">
        <v>0.046</v>
      </c>
      <c r="N9" s="3" t="s">
        <v>392</v>
      </c>
      <c r="O9" s="3" t="s">
        <v>396</v>
      </c>
      <c r="P9" s="3"/>
    </row>
    <row r="10" customFormat="false" ht="15" hidden="false" customHeight="false" outlineLevel="0" collapsed="false">
      <c r="A10" s="3" t="s">
        <v>48</v>
      </c>
      <c r="B10" s="3" t="s">
        <v>395</v>
      </c>
      <c r="C10" s="3" t="n">
        <v>0.455</v>
      </c>
      <c r="D10" s="3" t="n">
        <v>4.05</v>
      </c>
      <c r="E10" s="3" t="n">
        <v>0.97</v>
      </c>
      <c r="F10" s="3" t="n">
        <v>0.1075</v>
      </c>
      <c r="G10" s="3" t="n">
        <v>7</v>
      </c>
      <c r="H10" s="11" t="b">
        <f aca="false">TRUE()</f>
        <v>1</v>
      </c>
      <c r="I10" s="3" t="s">
        <v>391</v>
      </c>
      <c r="J10" s="3" t="n">
        <v>203</v>
      </c>
      <c r="K10" s="3" t="n">
        <v>203</v>
      </c>
      <c r="L10" s="3"/>
      <c r="M10" s="3" t="n">
        <v>0.515</v>
      </c>
      <c r="N10" s="3" t="s">
        <v>392</v>
      </c>
      <c r="O10" s="3" t="s">
        <v>393</v>
      </c>
      <c r="P10" s="3" t="s">
        <v>397</v>
      </c>
    </row>
    <row r="11" customFormat="false" ht="15" hidden="false" customHeight="false" outlineLevel="0" collapsed="false">
      <c r="A11" s="3" t="s">
        <v>54</v>
      </c>
      <c r="B11" s="3" t="s">
        <v>395</v>
      </c>
      <c r="C11" s="3" t="n">
        <v>0.577</v>
      </c>
      <c r="D11" s="3" t="n">
        <v>4.5</v>
      </c>
      <c r="E11" s="3" t="n">
        <v>0.8</v>
      </c>
      <c r="F11" s="3" t="n">
        <v>0.0996</v>
      </c>
      <c r="G11" s="3" t="n">
        <v>2</v>
      </c>
      <c r="H11" s="11" t="b">
        <f aca="false">TRUE()</f>
        <v>1</v>
      </c>
      <c r="I11" s="3" t="s">
        <v>391</v>
      </c>
      <c r="J11" s="3" t="n">
        <v>150</v>
      </c>
      <c r="K11" s="3" t="n">
        <v>150</v>
      </c>
      <c r="L11" s="3"/>
      <c r="M11" s="3" t="n">
        <v>0.223</v>
      </c>
      <c r="N11" s="3" t="s">
        <v>392</v>
      </c>
      <c r="O11" s="3" t="s">
        <v>393</v>
      </c>
      <c r="P11" s="3" t="s">
        <v>397</v>
      </c>
    </row>
    <row r="12" customFormat="false" ht="15" hidden="false" customHeight="false" outlineLevel="0" collapsed="false">
      <c r="A12" s="3" t="s">
        <v>60</v>
      </c>
      <c r="B12" s="3" t="s">
        <v>395</v>
      </c>
      <c r="C12" s="3" t="n">
        <v>0.507</v>
      </c>
      <c r="D12" s="3" t="n">
        <v>1.5</v>
      </c>
      <c r="E12" s="3" t="n">
        <v>0.86</v>
      </c>
      <c r="F12" s="3" t="n">
        <v>0.0601</v>
      </c>
      <c r="G12" s="3" t="n">
        <v>1</v>
      </c>
      <c r="H12" s="11" t="b">
        <f aca="false">FALSE()</f>
        <v>0</v>
      </c>
      <c r="I12" s="3" t="s">
        <v>391</v>
      </c>
      <c r="J12" s="3" t="n">
        <v>147</v>
      </c>
      <c r="K12" s="3" t="n">
        <v>147</v>
      </c>
      <c r="L12" s="3"/>
      <c r="M12" s="3" t="n">
        <v>0.353</v>
      </c>
      <c r="N12" s="3" t="s">
        <v>392</v>
      </c>
      <c r="O12" s="3" t="s">
        <v>393</v>
      </c>
      <c r="P12" s="3" t="s">
        <v>398</v>
      </c>
    </row>
    <row r="13" customFormat="false" ht="15" hidden="false" customHeight="false" outlineLevel="0" collapsed="false">
      <c r="A13" s="3" t="s">
        <v>65</v>
      </c>
      <c r="B13" s="3" t="s">
        <v>395</v>
      </c>
      <c r="C13" s="3" t="n">
        <v>0.224</v>
      </c>
      <c r="D13" s="3" t="n">
        <v>1.5</v>
      </c>
      <c r="E13" s="3" t="n">
        <v>0.82</v>
      </c>
      <c r="F13" s="3" t="n">
        <v>0.092</v>
      </c>
      <c r="G13" s="3" t="n">
        <v>1</v>
      </c>
      <c r="H13" s="11" t="b">
        <f aca="false">FALSE()</f>
        <v>0</v>
      </c>
      <c r="I13" s="3" t="s">
        <v>391</v>
      </c>
      <c r="J13" s="3" t="n">
        <v>173</v>
      </c>
      <c r="K13" s="3" t="n">
        <v>173</v>
      </c>
      <c r="L13" s="3"/>
      <c r="M13" s="3" t="n">
        <v>0.596</v>
      </c>
      <c r="N13" s="3" t="s">
        <v>392</v>
      </c>
      <c r="O13" s="3" t="s">
        <v>393</v>
      </c>
      <c r="P13" s="3" t="s">
        <v>398</v>
      </c>
    </row>
    <row r="14" customFormat="false" ht="15" hidden="false" customHeight="false" outlineLevel="0" collapsed="false">
      <c r="A14" s="3" t="s">
        <v>70</v>
      </c>
      <c r="B14" s="3" t="s">
        <v>395</v>
      </c>
      <c r="C14" s="3" t="n">
        <v>0.284</v>
      </c>
      <c r="D14" s="3" t="n">
        <v>1.85</v>
      </c>
      <c r="E14" s="3" t="n">
        <v>0.77</v>
      </c>
      <c r="F14" s="3" t="n">
        <v>0.0996</v>
      </c>
      <c r="G14" s="3" t="n">
        <v>1</v>
      </c>
      <c r="H14" s="11" t="b">
        <f aca="false">FALSE()</f>
        <v>0</v>
      </c>
      <c r="I14" s="3" t="s">
        <v>391</v>
      </c>
      <c r="J14" s="3" t="n">
        <v>151</v>
      </c>
      <c r="K14" s="3" t="n">
        <v>151</v>
      </c>
      <c r="L14" s="3"/>
      <c r="M14" s="3" t="n">
        <v>0.486</v>
      </c>
      <c r="N14" s="3" t="s">
        <v>392</v>
      </c>
      <c r="O14" s="3" t="s">
        <v>393</v>
      </c>
      <c r="P14" s="3" t="s">
        <v>398</v>
      </c>
    </row>
    <row r="15" customFormat="false" ht="15" hidden="false" customHeight="false" outlineLevel="0" collapsed="false">
      <c r="A15" s="3" t="s">
        <v>75</v>
      </c>
      <c r="B15" s="3" t="s">
        <v>395</v>
      </c>
      <c r="C15" s="3" t="n">
        <v>0.017</v>
      </c>
      <c r="D15" s="3" t="n">
        <v>1.5</v>
      </c>
      <c r="E15" s="3" t="n">
        <v>0.57</v>
      </c>
      <c r="F15" s="3" t="n">
        <v>0.1973</v>
      </c>
      <c r="G15" s="3" t="n">
        <v>1</v>
      </c>
      <c r="H15" s="11" t="b">
        <f aca="false">FALSE()</f>
        <v>0</v>
      </c>
      <c r="I15" s="3" t="s">
        <v>391</v>
      </c>
      <c r="J15" s="3" t="n">
        <v>144</v>
      </c>
      <c r="K15" s="3" t="n">
        <v>144</v>
      </c>
      <c r="L15" s="3"/>
      <c r="M15" s="3" t="n">
        <v>0.553</v>
      </c>
      <c r="N15" s="3" t="s">
        <v>392</v>
      </c>
      <c r="O15" s="3" t="s">
        <v>393</v>
      </c>
      <c r="P15" s="3" t="s">
        <v>394</v>
      </c>
    </row>
    <row r="16" customFormat="false" ht="15" hidden="false" customHeight="false" outlineLevel="0" collapsed="false">
      <c r="A16" s="3" t="s">
        <v>80</v>
      </c>
      <c r="B16" s="3" t="s">
        <v>395</v>
      </c>
      <c r="C16" s="3" t="n">
        <v>0.016</v>
      </c>
      <c r="D16" s="3" t="n">
        <v>1.6</v>
      </c>
      <c r="E16" s="3" t="n">
        <v>0.81</v>
      </c>
      <c r="F16" s="3" t="n">
        <v>0.1611</v>
      </c>
      <c r="G16" s="3" t="n">
        <v>1</v>
      </c>
      <c r="H16" s="11" t="b">
        <f aca="false">FALSE()</f>
        <v>0</v>
      </c>
      <c r="I16" s="3" t="s">
        <v>391</v>
      </c>
      <c r="J16" s="3" t="n">
        <v>127</v>
      </c>
      <c r="K16" s="3" t="n">
        <v>127</v>
      </c>
      <c r="L16" s="3"/>
      <c r="M16" s="3" t="n">
        <v>0.794</v>
      </c>
      <c r="N16" s="3" t="s">
        <v>392</v>
      </c>
      <c r="O16" s="3" t="s">
        <v>393</v>
      </c>
      <c r="P16" s="3" t="s">
        <v>394</v>
      </c>
    </row>
    <row r="17" customFormat="false" ht="15" hidden="false" customHeight="false" outlineLevel="0" collapsed="false">
      <c r="A17" s="3" t="s">
        <v>85</v>
      </c>
      <c r="B17" s="3" t="s">
        <v>395</v>
      </c>
      <c r="C17" s="3" t="n">
        <v>0.016</v>
      </c>
      <c r="D17" s="3" t="n">
        <v>2.05</v>
      </c>
      <c r="E17" s="3" t="n">
        <v>0.83</v>
      </c>
      <c r="F17" s="3" t="n">
        <v>0.1665</v>
      </c>
      <c r="G17" s="3" t="n">
        <v>1</v>
      </c>
      <c r="H17" s="11" t="b">
        <f aca="false">FALSE()</f>
        <v>0</v>
      </c>
      <c r="I17" s="3" t="s">
        <v>391</v>
      </c>
      <c r="J17" s="3" t="n">
        <v>130</v>
      </c>
      <c r="K17" s="3" t="n">
        <v>130</v>
      </c>
      <c r="L17" s="3"/>
      <c r="M17" s="3" t="n">
        <v>0.814</v>
      </c>
      <c r="N17" s="3" t="s">
        <v>392</v>
      </c>
      <c r="O17" s="3" t="s">
        <v>393</v>
      </c>
      <c r="P17" s="3" t="s">
        <v>394</v>
      </c>
    </row>
    <row r="18" customFormat="false" ht="15" hidden="false" customHeight="false" outlineLevel="0" collapsed="false">
      <c r="A18" s="3" t="s">
        <v>90</v>
      </c>
      <c r="B18" s="3" t="s">
        <v>395</v>
      </c>
      <c r="C18" s="3" t="n">
        <v>0.072</v>
      </c>
      <c r="D18" s="3" t="n">
        <v>3.6</v>
      </c>
      <c r="E18" s="3" t="n">
        <v>0.53</v>
      </c>
      <c r="F18" s="3" t="n">
        <v>0.1622</v>
      </c>
      <c r="G18" s="3" t="n">
        <v>1</v>
      </c>
      <c r="H18" s="11" t="b">
        <f aca="false">FALSE()</f>
        <v>0</v>
      </c>
      <c r="I18" s="3" t="s">
        <v>391</v>
      </c>
      <c r="J18" s="3" t="n">
        <v>141</v>
      </c>
      <c r="K18" s="3" t="n">
        <v>141</v>
      </c>
      <c r="L18" s="3"/>
      <c r="M18" s="3" t="n">
        <v>0.458</v>
      </c>
      <c r="N18" s="3" t="s">
        <v>392</v>
      </c>
      <c r="O18" s="3" t="s">
        <v>393</v>
      </c>
      <c r="P18" s="3"/>
    </row>
    <row r="19" customFormat="false" ht="15" hidden="false" customHeight="false" outlineLevel="0" collapsed="false">
      <c r="A19" s="3" t="s">
        <v>95</v>
      </c>
      <c r="B19" s="3" t="s">
        <v>395</v>
      </c>
      <c r="C19" s="3" t="n">
        <v>0.023</v>
      </c>
      <c r="D19" s="3" t="n">
        <v>1.6</v>
      </c>
      <c r="E19" s="3" t="n">
        <v>0.85</v>
      </c>
      <c r="F19" s="3" t="n">
        <v>0.1713</v>
      </c>
      <c r="G19" s="3" t="n">
        <v>1</v>
      </c>
      <c r="H19" s="11" t="b">
        <f aca="false">FALSE()</f>
        <v>0</v>
      </c>
      <c r="I19" s="3" t="s">
        <v>391</v>
      </c>
      <c r="J19" s="3" t="n">
        <v>141</v>
      </c>
      <c r="K19" s="3" t="n">
        <v>141</v>
      </c>
      <c r="L19" s="3"/>
      <c r="M19" s="3" t="n">
        <v>0.827</v>
      </c>
      <c r="N19" s="3" t="s">
        <v>392</v>
      </c>
      <c r="O19" s="3" t="s">
        <v>393</v>
      </c>
      <c r="P19" s="3" t="s">
        <v>394</v>
      </c>
    </row>
    <row r="20" customFormat="false" ht="15" hidden="false" customHeight="false" outlineLevel="0" collapsed="false">
      <c r="A20" s="3" t="s">
        <v>100</v>
      </c>
      <c r="B20" s="3" t="s">
        <v>395</v>
      </c>
      <c r="C20" s="3" t="n">
        <v>0.025</v>
      </c>
      <c r="D20" s="3" t="n">
        <v>4.4</v>
      </c>
      <c r="E20" s="3" t="n">
        <v>0.12</v>
      </c>
      <c r="F20" s="3" t="n">
        <v>0.1759</v>
      </c>
      <c r="G20" s="3" t="n">
        <v>1</v>
      </c>
      <c r="H20" s="11" t="b">
        <f aca="false">FALSE()</f>
        <v>0</v>
      </c>
      <c r="I20" s="3" t="s">
        <v>391</v>
      </c>
      <c r="J20" s="3" t="n">
        <v>113</v>
      </c>
      <c r="K20" s="3" t="n">
        <v>113</v>
      </c>
      <c r="L20" s="3"/>
      <c r="M20" s="3" t="n">
        <v>0.095</v>
      </c>
      <c r="N20" s="3" t="s">
        <v>392</v>
      </c>
      <c r="O20" s="3" t="s">
        <v>399</v>
      </c>
      <c r="P20" s="3" t="s">
        <v>394</v>
      </c>
    </row>
    <row r="21" customFormat="false" ht="15" hidden="false" customHeight="false" outlineLevel="0" collapsed="false">
      <c r="A21" s="3" t="s">
        <v>105</v>
      </c>
      <c r="B21" s="3" t="s">
        <v>395</v>
      </c>
      <c r="C21" s="3" t="n">
        <v>0.248</v>
      </c>
      <c r="D21" s="3" t="n">
        <v>1.5</v>
      </c>
      <c r="E21" s="3" t="n">
        <v>0.92</v>
      </c>
      <c r="F21" s="3" t="n">
        <v>0.0938</v>
      </c>
      <c r="G21" s="3" t="n">
        <v>1</v>
      </c>
      <c r="H21" s="11" t="b">
        <f aca="false">FALSE()</f>
        <v>0</v>
      </c>
      <c r="I21" s="3" t="s">
        <v>391</v>
      </c>
      <c r="J21" s="3" t="n">
        <v>152</v>
      </c>
      <c r="K21" s="3" t="n">
        <v>152</v>
      </c>
      <c r="L21" s="3"/>
      <c r="M21" s="3" t="n">
        <v>0.672</v>
      </c>
      <c r="N21" s="3" t="s">
        <v>392</v>
      </c>
      <c r="O21" s="3" t="s">
        <v>393</v>
      </c>
      <c r="P21" s="3" t="s">
        <v>398</v>
      </c>
    </row>
    <row r="22" customFormat="false" ht="15" hidden="false" customHeight="false" outlineLevel="0" collapsed="false">
      <c r="A22" s="3" t="s">
        <v>110</v>
      </c>
      <c r="B22" s="3" t="s">
        <v>395</v>
      </c>
      <c r="C22" s="3" t="n">
        <v>0.328</v>
      </c>
      <c r="D22" s="3" t="n">
        <v>2.55</v>
      </c>
      <c r="E22" s="3" t="n">
        <v>0.09</v>
      </c>
      <c r="F22" s="3" t="n">
        <v>0.1784</v>
      </c>
      <c r="G22" s="3" t="n">
        <v>1</v>
      </c>
      <c r="H22" s="11" t="b">
        <f aca="false">FALSE()</f>
        <v>0</v>
      </c>
      <c r="I22" s="3" t="s">
        <v>391</v>
      </c>
      <c r="J22" s="3" t="n">
        <v>120</v>
      </c>
      <c r="K22" s="3" t="n">
        <v>120</v>
      </c>
      <c r="L22" s="3"/>
      <c r="M22" s="3" t="n">
        <v>0.238</v>
      </c>
      <c r="N22" s="3" t="s">
        <v>392</v>
      </c>
      <c r="O22" s="3" t="s">
        <v>393</v>
      </c>
      <c r="P22" s="3" t="s">
        <v>398</v>
      </c>
    </row>
    <row r="23" customFormat="false" ht="15" hidden="false" customHeight="false" outlineLevel="0" collapsed="false">
      <c r="A23" s="3" t="s">
        <v>115</v>
      </c>
      <c r="B23" s="3" t="s">
        <v>400</v>
      </c>
      <c r="C23" s="3" t="n">
        <v>0.03636</v>
      </c>
      <c r="D23" s="3" t="n">
        <v>1.7</v>
      </c>
      <c r="E23" s="3" t="n">
        <v>0.83</v>
      </c>
      <c r="F23" s="3" t="n">
        <v>0.1806</v>
      </c>
      <c r="G23" s="3" t="n">
        <v>1</v>
      </c>
      <c r="H23" s="11" t="b">
        <f aca="false">FALSE()</f>
        <v>0</v>
      </c>
      <c r="I23" s="11" t="b">
        <f aca="false">TRUE()</f>
        <v>1</v>
      </c>
      <c r="J23" s="3" t="n">
        <v>131</v>
      </c>
      <c r="K23" s="3" t="n">
        <v>131</v>
      </c>
      <c r="L23" s="3" t="n">
        <v>0.806</v>
      </c>
      <c r="M23" s="3" t="n">
        <v>0.769</v>
      </c>
      <c r="N23" s="3" t="s">
        <v>392</v>
      </c>
      <c r="O23" s="3" t="s">
        <v>393</v>
      </c>
      <c r="P23" s="3"/>
    </row>
    <row r="24" customFormat="false" ht="15" hidden="false" customHeight="false" outlineLevel="0" collapsed="false">
      <c r="A24" s="3" t="s">
        <v>118</v>
      </c>
      <c r="B24" s="3" t="s">
        <v>400</v>
      </c>
      <c r="C24" s="3" t="n">
        <v>0.01195</v>
      </c>
      <c r="D24" s="3" t="n">
        <v>3.45</v>
      </c>
      <c r="E24" s="3" t="n">
        <v>0.52</v>
      </c>
      <c r="F24" s="3" t="n">
        <v>0.1749</v>
      </c>
      <c r="G24" s="3" t="n">
        <v>1</v>
      </c>
      <c r="H24" s="11" t="b">
        <f aca="false">FALSE()</f>
        <v>0</v>
      </c>
      <c r="I24" s="11" t="b">
        <f aca="false">TRUE()</f>
        <v>1</v>
      </c>
      <c r="J24" s="3" t="n">
        <v>118</v>
      </c>
      <c r="K24" s="3" t="n">
        <v>118</v>
      </c>
      <c r="L24" s="3" t="n">
        <v>0.651</v>
      </c>
      <c r="M24" s="3" t="n">
        <v>0.639</v>
      </c>
      <c r="N24" s="3" t="s">
        <v>392</v>
      </c>
      <c r="O24" s="3" t="s">
        <v>393</v>
      </c>
      <c r="P24" s="3" t="s">
        <v>394</v>
      </c>
    </row>
    <row r="25" customFormat="false" ht="15" hidden="false" customHeight="false" outlineLevel="0" collapsed="false">
      <c r="A25" s="3" t="s">
        <v>121</v>
      </c>
      <c r="B25" s="3" t="s">
        <v>400</v>
      </c>
      <c r="C25" s="3" t="n">
        <v>0.01944</v>
      </c>
      <c r="D25" s="3" t="n">
        <v>3.65</v>
      </c>
      <c r="E25" s="3" t="n">
        <v>0.28</v>
      </c>
      <c r="F25" s="3" t="n">
        <v>0.1847</v>
      </c>
      <c r="G25" s="3" t="n">
        <v>1</v>
      </c>
      <c r="H25" s="11" t="b">
        <f aca="false">FALSE()</f>
        <v>0</v>
      </c>
      <c r="I25" s="11" t="b">
        <f aca="false">TRUE()</f>
        <v>1</v>
      </c>
      <c r="J25" s="3" t="n">
        <v>138</v>
      </c>
      <c r="K25" s="3" t="n">
        <v>138</v>
      </c>
      <c r="L25" s="3" t="n">
        <v>0.415</v>
      </c>
      <c r="M25" s="3" t="n">
        <v>0.396</v>
      </c>
      <c r="N25" s="3" t="s">
        <v>392</v>
      </c>
      <c r="O25" s="3" t="s">
        <v>393</v>
      </c>
      <c r="P25" s="3" t="s">
        <v>394</v>
      </c>
    </row>
    <row r="26" customFormat="false" ht="15" hidden="false" customHeight="false" outlineLevel="0" collapsed="false">
      <c r="A26" s="3" t="s">
        <v>124</v>
      </c>
      <c r="B26" s="3" t="s">
        <v>400</v>
      </c>
      <c r="C26" s="3" t="n">
        <v>0.04876</v>
      </c>
      <c r="D26" s="3" t="n">
        <v>3.35</v>
      </c>
      <c r="E26" s="3" t="n">
        <v>0.75</v>
      </c>
      <c r="F26" s="3" t="n">
        <v>0.1733</v>
      </c>
      <c r="G26" s="3" t="n">
        <v>1</v>
      </c>
      <c r="H26" s="11" t="b">
        <f aca="false">FALSE()</f>
        <v>0</v>
      </c>
      <c r="I26" s="11" t="b">
        <f aca="false">TRUE()</f>
        <v>1</v>
      </c>
      <c r="J26" s="3" t="n">
        <v>120</v>
      </c>
      <c r="K26" s="3" t="n">
        <v>120</v>
      </c>
      <c r="L26" s="3" t="n">
        <v>0.834</v>
      </c>
      <c r="M26" s="3" t="n">
        <v>0.785</v>
      </c>
      <c r="N26" s="3" t="s">
        <v>392</v>
      </c>
      <c r="O26" s="3" t="s">
        <v>393</v>
      </c>
      <c r="P26" s="3"/>
    </row>
    <row r="27" customFormat="false" ht="15" hidden="false" customHeight="false" outlineLevel="0" collapsed="false">
      <c r="A27" s="3" t="s">
        <v>128</v>
      </c>
      <c r="B27" s="3" t="s">
        <v>400</v>
      </c>
      <c r="C27" s="3" t="n">
        <v>0.06386</v>
      </c>
      <c r="D27" s="3" t="n">
        <v>3.45</v>
      </c>
      <c r="E27" s="3" t="n">
        <v>0.73</v>
      </c>
      <c r="F27" s="3" t="n">
        <v>0.1746</v>
      </c>
      <c r="G27" s="3" t="n">
        <v>1</v>
      </c>
      <c r="H27" s="11" t="b">
        <f aca="false">FALSE()</f>
        <v>0</v>
      </c>
      <c r="I27" s="11" t="b">
        <f aca="false">TRUE()</f>
        <v>1</v>
      </c>
      <c r="J27" s="3" t="n">
        <v>129</v>
      </c>
      <c r="K27" s="3" t="n">
        <v>129</v>
      </c>
      <c r="L27" s="3" t="n">
        <v>0.823</v>
      </c>
      <c r="M27" s="3" t="n">
        <v>0.76</v>
      </c>
      <c r="N27" s="3" t="s">
        <v>392</v>
      </c>
      <c r="O27" s="3" t="s">
        <v>393</v>
      </c>
      <c r="P27" s="3"/>
    </row>
    <row r="28" customFormat="false" ht="15" hidden="false" customHeight="false" outlineLevel="0" collapsed="false">
      <c r="A28" s="3" t="s">
        <v>131</v>
      </c>
      <c r="B28" s="3" t="s">
        <v>400</v>
      </c>
      <c r="C28" s="3" t="n">
        <v>0.6033</v>
      </c>
      <c r="D28" s="3" t="n">
        <v>1.5</v>
      </c>
      <c r="E28" s="3" t="n">
        <v>0.94</v>
      </c>
      <c r="F28" s="3" t="n">
        <v>0.0704</v>
      </c>
      <c r="G28" s="3" t="n">
        <v>1</v>
      </c>
      <c r="H28" s="11" t="b">
        <f aca="false">FALSE()</f>
        <v>0</v>
      </c>
      <c r="I28" s="11" t="b">
        <f aca="false">TRUE()</f>
        <v>1</v>
      </c>
      <c r="J28" s="3" t="n">
        <v>156</v>
      </c>
      <c r="K28" s="3" t="n">
        <v>156</v>
      </c>
      <c r="L28" s="3" t="n">
        <v>0.922</v>
      </c>
      <c r="M28" s="3" t="n">
        <v>0.318</v>
      </c>
      <c r="N28" s="3" t="s">
        <v>392</v>
      </c>
      <c r="O28" s="3" t="s">
        <v>393</v>
      </c>
      <c r="P28" s="3" t="s">
        <v>398</v>
      </c>
    </row>
    <row r="29" customFormat="false" ht="15" hidden="false" customHeight="false" outlineLevel="0" collapsed="false">
      <c r="A29" s="3" t="s">
        <v>134</v>
      </c>
      <c r="B29" s="3" t="s">
        <v>400</v>
      </c>
      <c r="C29" s="3" t="n">
        <v>0.00859</v>
      </c>
      <c r="D29" s="3" t="n">
        <v>1.5</v>
      </c>
      <c r="E29" s="3" t="n">
        <v>0.8</v>
      </c>
      <c r="F29" s="3" t="n">
        <v>0.1763</v>
      </c>
      <c r="G29" s="3" t="n">
        <v>1</v>
      </c>
      <c r="H29" s="11" t="b">
        <f aca="false">FALSE()</f>
        <v>0</v>
      </c>
      <c r="I29" s="11" t="b">
        <f aca="false">TRUE()</f>
        <v>1</v>
      </c>
      <c r="J29" s="3" t="n">
        <v>143</v>
      </c>
      <c r="K29" s="3" t="n">
        <v>143</v>
      </c>
      <c r="L29" s="3" t="n">
        <v>0.75</v>
      </c>
      <c r="M29" s="3" t="n">
        <v>0.741</v>
      </c>
      <c r="N29" s="3" t="s">
        <v>392</v>
      </c>
      <c r="O29" s="3" t="s">
        <v>393</v>
      </c>
      <c r="P29" s="3" t="s">
        <v>394</v>
      </c>
    </row>
    <row r="30" customFormat="false" ht="15" hidden="false" customHeight="false" outlineLevel="0" collapsed="false">
      <c r="A30" s="3" t="s">
        <v>137</v>
      </c>
      <c r="B30" s="3" t="s">
        <v>400</v>
      </c>
      <c r="C30" s="3" t="n">
        <v>0.6228</v>
      </c>
      <c r="D30" s="3" t="n">
        <v>1.5</v>
      </c>
      <c r="E30" s="3" t="n">
        <v>0.94</v>
      </c>
      <c r="F30" s="3" t="n">
        <v>0.0623</v>
      </c>
      <c r="G30" s="3" t="n">
        <v>1</v>
      </c>
      <c r="H30" s="11" t="b">
        <f aca="false">FALSE()</f>
        <v>0</v>
      </c>
      <c r="I30" s="11" t="b">
        <f aca="false">TRUE()</f>
        <v>1</v>
      </c>
      <c r="J30" s="3" t="n">
        <v>230</v>
      </c>
      <c r="K30" s="3" t="n">
        <v>230</v>
      </c>
      <c r="L30" s="3" t="n">
        <v>0.922</v>
      </c>
      <c r="M30" s="3" t="n">
        <v>0.299</v>
      </c>
      <c r="N30" s="3" t="s">
        <v>392</v>
      </c>
      <c r="O30" s="3" t="s">
        <v>393</v>
      </c>
      <c r="P30" s="3" t="s">
        <v>398</v>
      </c>
    </row>
    <row r="31" customFormat="false" ht="15" hidden="false" customHeight="false" outlineLevel="0" collapsed="false">
      <c r="A31" s="3" t="s">
        <v>140</v>
      </c>
      <c r="B31" s="3" t="s">
        <v>400</v>
      </c>
      <c r="C31" s="3" t="n">
        <v>0.3612</v>
      </c>
      <c r="D31" s="3" t="n">
        <v>2.05</v>
      </c>
      <c r="E31" s="3" t="n">
        <v>0.74</v>
      </c>
      <c r="F31" s="3" t="n">
        <v>0.0741</v>
      </c>
      <c r="G31" s="3" t="n">
        <v>1</v>
      </c>
      <c r="H31" s="11" t="b">
        <f aca="false">FALSE()</f>
        <v>0</v>
      </c>
      <c r="I31" s="11" t="b">
        <f aca="false">TRUE()</f>
        <v>1</v>
      </c>
      <c r="J31" s="3" t="n">
        <v>179</v>
      </c>
      <c r="K31" s="3" t="n">
        <v>179</v>
      </c>
      <c r="L31" s="3" t="n">
        <v>0.745</v>
      </c>
      <c r="M31" s="3" t="n">
        <v>0.384</v>
      </c>
      <c r="N31" s="3" t="s">
        <v>392</v>
      </c>
      <c r="O31" s="3" t="s">
        <v>393</v>
      </c>
      <c r="P31" s="3" t="s">
        <v>398</v>
      </c>
    </row>
    <row r="32" customFormat="false" ht="15" hidden="false" customHeight="false" outlineLevel="0" collapsed="false">
      <c r="A32" s="3" t="s">
        <v>144</v>
      </c>
      <c r="B32" s="3" t="s">
        <v>400</v>
      </c>
      <c r="C32" s="3" t="n">
        <v>0.01431</v>
      </c>
      <c r="D32" s="3" t="n">
        <v>1.5</v>
      </c>
      <c r="E32" s="3" t="n">
        <v>0.85</v>
      </c>
      <c r="F32" s="3" t="n">
        <v>0.1623</v>
      </c>
      <c r="G32" s="3" t="n">
        <v>1</v>
      </c>
      <c r="H32" s="11" t="b">
        <f aca="false">FALSE()</f>
        <v>0</v>
      </c>
      <c r="I32" s="11" t="b">
        <f aca="false">TRUE()</f>
        <v>1</v>
      </c>
      <c r="J32" s="3" t="n">
        <v>142</v>
      </c>
      <c r="K32" s="3" t="n">
        <v>142</v>
      </c>
      <c r="L32" s="3" t="n">
        <v>0.81</v>
      </c>
      <c r="M32" s="3" t="n">
        <v>0.795</v>
      </c>
      <c r="N32" s="3" t="s">
        <v>392</v>
      </c>
      <c r="O32" s="3" t="s">
        <v>393</v>
      </c>
      <c r="P32" s="3" t="s">
        <v>394</v>
      </c>
    </row>
    <row r="33" customFormat="false" ht="15" hidden="false" customHeight="false" outlineLevel="0" collapsed="false">
      <c r="A33" s="3" t="s">
        <v>147</v>
      </c>
      <c r="B33" s="3" t="s">
        <v>400</v>
      </c>
      <c r="C33" s="3" t="n">
        <v>0.00969</v>
      </c>
      <c r="D33" s="3" t="n">
        <v>2</v>
      </c>
      <c r="E33" s="3" t="n">
        <v>0.13</v>
      </c>
      <c r="F33" s="3" t="n">
        <v>0.1957</v>
      </c>
      <c r="G33" s="3" t="n">
        <v>1</v>
      </c>
      <c r="H33" s="11" t="b">
        <f aca="false">FALSE()</f>
        <v>0</v>
      </c>
      <c r="I33" s="11" t="b">
        <f aca="false">TRUE()</f>
        <v>1</v>
      </c>
      <c r="J33" s="3" t="n">
        <v>132</v>
      </c>
      <c r="K33" s="3" t="n">
        <v>132</v>
      </c>
      <c r="L33" s="3" t="n">
        <v>0.13</v>
      </c>
      <c r="M33" s="3" t="n">
        <v>0.12</v>
      </c>
      <c r="N33" s="3" t="s">
        <v>392</v>
      </c>
      <c r="O33" s="3" t="s">
        <v>393</v>
      </c>
      <c r="P33" s="3" t="s">
        <v>394</v>
      </c>
    </row>
    <row r="34" customFormat="false" ht="15" hidden="false" customHeight="false" outlineLevel="0" collapsed="false">
      <c r="A34" s="3" t="s">
        <v>150</v>
      </c>
      <c r="B34" s="3" t="s">
        <v>400</v>
      </c>
      <c r="C34" s="3" t="n">
        <v>0.0903</v>
      </c>
      <c r="D34" s="3" t="n">
        <v>1.5</v>
      </c>
      <c r="E34" s="3" t="n">
        <v>0.81</v>
      </c>
      <c r="F34" s="3" t="n">
        <v>0.1568</v>
      </c>
      <c r="G34" s="3" t="n">
        <v>1</v>
      </c>
      <c r="H34" s="11" t="b">
        <f aca="false">FALSE()</f>
        <v>0</v>
      </c>
      <c r="I34" s="11" t="b">
        <f aca="false">TRUE()</f>
        <v>1</v>
      </c>
      <c r="J34" s="3" t="n">
        <v>153</v>
      </c>
      <c r="K34" s="3" t="n">
        <v>153</v>
      </c>
      <c r="L34" s="3" t="n">
        <v>0.762</v>
      </c>
      <c r="M34" s="3" t="n">
        <v>0.671</v>
      </c>
      <c r="N34" s="3" t="s">
        <v>392</v>
      </c>
      <c r="O34" s="3" t="s">
        <v>393</v>
      </c>
      <c r="P34" s="3" t="s">
        <v>401</v>
      </c>
    </row>
    <row r="35" customFormat="false" ht="15" hidden="false" customHeight="false" outlineLevel="0" collapsed="false">
      <c r="A35" s="3" t="s">
        <v>153</v>
      </c>
      <c r="B35" s="3" t="s">
        <v>400</v>
      </c>
      <c r="C35" s="3" t="n">
        <v>0.01993</v>
      </c>
      <c r="D35" s="3" t="n">
        <v>1.65</v>
      </c>
      <c r="E35" s="3" t="n">
        <v>0.83</v>
      </c>
      <c r="F35" s="3" t="n">
        <v>0.1784</v>
      </c>
      <c r="G35" s="3" t="n">
        <v>1</v>
      </c>
      <c r="H35" s="11" t="b">
        <f aca="false">FALSE()</f>
        <v>0</v>
      </c>
      <c r="I35" s="11" t="b">
        <f aca="false">TRUE()</f>
        <v>1</v>
      </c>
      <c r="J35" s="3" t="n">
        <v>122</v>
      </c>
      <c r="K35" s="3" t="n">
        <v>122</v>
      </c>
      <c r="L35" s="3" t="n">
        <v>0.801</v>
      </c>
      <c r="M35" s="3" t="n">
        <v>0.781</v>
      </c>
      <c r="N35" s="3" t="s">
        <v>392</v>
      </c>
      <c r="O35" s="3" t="s">
        <v>393</v>
      </c>
      <c r="P35" s="3" t="s">
        <v>394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8"/>
    <col collapsed="false" customWidth="true" hidden="false" outlineLevel="0" max="3" min="3" style="1" width="13"/>
    <col collapsed="false" customWidth="true" hidden="false" outlineLevel="0" max="4" min="4" style="1" width="14"/>
    <col collapsed="false" customWidth="true" hidden="false" outlineLevel="0" max="5" min="5" style="1" width="20"/>
    <col collapsed="false" customWidth="true" hidden="false" outlineLevel="0" max="6" min="6" style="1" width="24"/>
    <col collapsed="false" customWidth="true" hidden="false" outlineLevel="0" max="7" min="7" style="1" width="20"/>
    <col collapsed="false" customWidth="true" hidden="false" outlineLevel="0" max="8" min="8" style="1" width="24"/>
    <col collapsed="false" customWidth="true" hidden="false" outlineLevel="0" max="9" min="9" style="1" width="22"/>
    <col collapsed="false" customWidth="true" hidden="false" outlineLevel="0" max="10" min="10" style="1" width="20"/>
    <col collapsed="false" customWidth="true" hidden="false" outlineLevel="0" max="11" min="11" style="1" width="22"/>
    <col collapsed="false" customWidth="true" hidden="false" outlineLevel="0" max="12" min="12" style="1" width="20"/>
    <col collapsed="false" customWidth="true" hidden="false" outlineLevel="0" max="13" min="13" style="1" width="24"/>
    <col collapsed="false" customWidth="true" hidden="false" outlineLevel="0" max="15" min="14" style="1" width="22"/>
    <col collapsed="false" customWidth="true" hidden="false" outlineLevel="0" max="16" min="16" style="1" width="24"/>
    <col collapsed="false" customWidth="true" hidden="false" outlineLevel="0" max="17" min="17" style="1" width="22"/>
    <col collapsed="false" customWidth="true" hidden="false" outlineLevel="0" max="18" min="18" style="1" width="10"/>
    <col collapsed="false" customWidth="true" hidden="false" outlineLevel="0" max="19" min="19" style="1" width="45"/>
  </cols>
  <sheetData>
    <row r="1" customFormat="false" ht="23.25" hidden="false" customHeight="true" outlineLevel="0" collapsed="false">
      <c r="A1" s="2" t="s">
        <v>0</v>
      </c>
      <c r="B1" s="2" t="s">
        <v>375</v>
      </c>
      <c r="C1" s="2" t="s">
        <v>376</v>
      </c>
      <c r="D1" s="2" t="s">
        <v>402</v>
      </c>
      <c r="E1" s="2" t="s">
        <v>403</v>
      </c>
      <c r="F1" s="2" t="s">
        <v>404</v>
      </c>
      <c r="G1" s="2" t="s">
        <v>405</v>
      </c>
      <c r="H1" s="2" t="s">
        <v>406</v>
      </c>
      <c r="I1" s="2" t="s">
        <v>407</v>
      </c>
      <c r="J1" s="2" t="s">
        <v>408</v>
      </c>
      <c r="K1" s="2" t="s">
        <v>409</v>
      </c>
      <c r="L1" s="2" t="s">
        <v>410</v>
      </c>
      <c r="M1" s="2" t="s">
        <v>411</v>
      </c>
      <c r="N1" s="2" t="s">
        <v>412</v>
      </c>
      <c r="O1" s="2" t="s">
        <v>413</v>
      </c>
      <c r="P1" s="2" t="s">
        <v>414</v>
      </c>
      <c r="Q1" s="2" t="s">
        <v>415</v>
      </c>
      <c r="R1" s="2" t="s">
        <v>387</v>
      </c>
      <c r="S1" s="2" t="s">
        <v>416</v>
      </c>
    </row>
    <row r="2" customFormat="false" ht="15" hidden="false" customHeight="false" outlineLevel="0" collapsed="false">
      <c r="A2" s="3" t="s">
        <v>48</v>
      </c>
      <c r="B2" s="3" t="s">
        <v>395</v>
      </c>
      <c r="C2" s="3" t="n">
        <v>0.455</v>
      </c>
      <c r="D2" s="3" t="n">
        <v>2.299</v>
      </c>
      <c r="E2" s="3" t="n">
        <v>4.05</v>
      </c>
      <c r="F2" s="3" t="n">
        <v>0.97</v>
      </c>
      <c r="G2" s="3" t="n">
        <v>0.1075</v>
      </c>
      <c r="H2" s="3" t="n">
        <v>0.985</v>
      </c>
      <c r="I2" s="3" t="n">
        <v>0.53</v>
      </c>
      <c r="J2" s="3" t="n">
        <v>3</v>
      </c>
      <c r="K2" s="3" t="n">
        <v>0.605</v>
      </c>
      <c r="L2" s="3" t="n">
        <v>0.1245</v>
      </c>
      <c r="M2" s="3" t="n">
        <v>0.697</v>
      </c>
      <c r="N2" s="3" t="n">
        <v>0.242</v>
      </c>
      <c r="O2" s="3" t="n">
        <v>0.288</v>
      </c>
      <c r="P2" s="3" t="n">
        <v>1</v>
      </c>
      <c r="Q2" s="3" t="s">
        <v>417</v>
      </c>
      <c r="R2" s="3" t="s">
        <v>392</v>
      </c>
      <c r="S2" s="3" t="s">
        <v>418</v>
      </c>
    </row>
    <row r="3" customFormat="false" ht="15" hidden="false" customHeight="false" outlineLevel="0" collapsed="false">
      <c r="A3" s="3" t="s">
        <v>54</v>
      </c>
      <c r="B3" s="3" t="s">
        <v>395</v>
      </c>
      <c r="C3" s="3" t="n">
        <v>0.577</v>
      </c>
      <c r="D3" s="3" t="n">
        <v>1.997</v>
      </c>
      <c r="E3" s="3" t="n">
        <v>4.5</v>
      </c>
      <c r="F3" s="3" t="n">
        <v>0.8</v>
      </c>
      <c r="G3" s="3" t="n">
        <v>0.0996</v>
      </c>
      <c r="H3" s="3" t="n">
        <v>0.9</v>
      </c>
      <c r="I3" s="3" t="n">
        <v>0.323</v>
      </c>
      <c r="J3" s="3" t="n">
        <v>2.05</v>
      </c>
      <c r="K3" s="3" t="n">
        <v>0.567</v>
      </c>
      <c r="L3" s="3" t="n">
        <v>0.0866</v>
      </c>
      <c r="M3" s="3" t="n">
        <v>0.573</v>
      </c>
      <c r="N3" s="3" t="n">
        <v>0.004</v>
      </c>
      <c r="O3" s="3" t="n">
        <v>0.319</v>
      </c>
      <c r="P3" s="3" t="n">
        <v>1</v>
      </c>
      <c r="Q3" s="3" t="s">
        <v>419</v>
      </c>
      <c r="R3" s="3" t="s">
        <v>392</v>
      </c>
      <c r="S3" s="3" t="s">
        <v>420</v>
      </c>
    </row>
    <row r="4" customFormat="false" ht="15" hidden="false" customHeight="false" outlineLevel="0" collapsed="false">
      <c r="A4" s="3" t="s">
        <v>60</v>
      </c>
      <c r="B4" s="3" t="s">
        <v>395</v>
      </c>
      <c r="C4" s="3" t="n">
        <v>0.507</v>
      </c>
      <c r="D4" s="3" t="n">
        <v>2.001</v>
      </c>
      <c r="E4" s="3" t="n">
        <v>1.5</v>
      </c>
      <c r="F4" s="3" t="n">
        <v>0.86</v>
      </c>
      <c r="G4" s="3" t="n">
        <v>0.0601</v>
      </c>
      <c r="H4" s="3" t="n">
        <v>0.822</v>
      </c>
      <c r="I4" s="3" t="n">
        <v>0.315</v>
      </c>
      <c r="J4" s="3" t="n">
        <v>1.75</v>
      </c>
      <c r="K4" s="3" t="n">
        <v>0.417</v>
      </c>
      <c r="L4" s="3" t="n">
        <v>0.0765</v>
      </c>
      <c r="M4" s="3" t="n">
        <v>0.385</v>
      </c>
      <c r="N4" s="3" t="n">
        <v>0.122</v>
      </c>
      <c r="O4" s="3" t="n">
        <v>0.193</v>
      </c>
      <c r="P4" s="3" t="n">
        <v>1</v>
      </c>
      <c r="Q4" s="3" t="s">
        <v>421</v>
      </c>
      <c r="R4" s="3" t="s">
        <v>392</v>
      </c>
      <c r="S4" s="3" t="s">
        <v>418</v>
      </c>
    </row>
    <row r="5" customFormat="false" ht="15" hidden="false" customHeight="false" outlineLevel="0" collapsed="false">
      <c r="A5" s="3" t="s">
        <v>65</v>
      </c>
      <c r="B5" s="3" t="s">
        <v>395</v>
      </c>
      <c r="C5" s="3" t="n">
        <v>0.224</v>
      </c>
      <c r="D5" s="3" t="n">
        <v>2.004</v>
      </c>
      <c r="E5" s="3" t="n">
        <v>1.5</v>
      </c>
      <c r="F5" s="3" t="n">
        <v>0.82</v>
      </c>
      <c r="G5" s="3" t="n">
        <v>0.092</v>
      </c>
      <c r="H5" s="3" t="n">
        <v>0.774</v>
      </c>
      <c r="I5" s="3" t="n">
        <v>0.55</v>
      </c>
      <c r="J5" s="3" t="n">
        <v>3.5</v>
      </c>
      <c r="K5" s="3" t="n">
        <v>0.124</v>
      </c>
      <c r="L5" s="3" t="n">
        <v>0.1192</v>
      </c>
      <c r="M5" s="3" t="n">
        <v>0.199</v>
      </c>
      <c r="N5" s="3" t="n">
        <v>0.025</v>
      </c>
      <c r="O5" s="3" t="n">
        <v>0.524</v>
      </c>
      <c r="P5" s="3" t="n">
        <v>1</v>
      </c>
      <c r="Q5" s="3" t="s">
        <v>422</v>
      </c>
      <c r="R5" s="3" t="s">
        <v>392</v>
      </c>
      <c r="S5" s="3" t="s">
        <v>420</v>
      </c>
    </row>
    <row r="6" customFormat="false" ht="15" hidden="false" customHeight="false" outlineLevel="0" collapsed="false">
      <c r="A6" s="3" t="s">
        <v>70</v>
      </c>
      <c r="B6" s="3" t="s">
        <v>395</v>
      </c>
      <c r="C6" s="3" t="n">
        <v>0.284</v>
      </c>
      <c r="D6" s="3" t="n">
        <v>1.767</v>
      </c>
      <c r="E6" s="3" t="n">
        <v>1.85</v>
      </c>
      <c r="F6" s="3" t="n">
        <v>0.77</v>
      </c>
      <c r="G6" s="3" t="n">
        <v>0.0996</v>
      </c>
      <c r="H6" s="3" t="n">
        <v>0.756</v>
      </c>
      <c r="I6" s="3" t="n">
        <v>0.472</v>
      </c>
      <c r="J6" s="3" t="n">
        <v>1.7</v>
      </c>
      <c r="K6" s="3" t="n">
        <v>0.144</v>
      </c>
      <c r="L6" s="3" t="n">
        <v>0.109</v>
      </c>
      <c r="M6" s="3" t="n">
        <v>0.125</v>
      </c>
      <c r="N6" s="3" t="n">
        <v>0.159</v>
      </c>
      <c r="O6" s="3" t="n">
        <v>0.313</v>
      </c>
      <c r="P6" s="3" t="n">
        <v>1</v>
      </c>
      <c r="Q6" s="3" t="s">
        <v>423</v>
      </c>
      <c r="R6" s="3" t="s">
        <v>392</v>
      </c>
      <c r="S6" s="3" t="s">
        <v>418</v>
      </c>
    </row>
    <row r="7" customFormat="false" ht="15" hidden="false" customHeight="false" outlineLevel="0" collapsed="false">
      <c r="A7" s="3" t="s">
        <v>105</v>
      </c>
      <c r="B7" s="3" t="s">
        <v>395</v>
      </c>
      <c r="C7" s="3" t="n">
        <v>0.248</v>
      </c>
      <c r="D7" s="3" t="n">
        <v>2.598</v>
      </c>
      <c r="E7" s="3" t="n">
        <v>1.5</v>
      </c>
      <c r="F7" s="3" t="n">
        <v>0.92</v>
      </c>
      <c r="G7" s="3" t="n">
        <v>0.0938</v>
      </c>
      <c r="H7" s="3" t="n">
        <v>0.896</v>
      </c>
      <c r="I7" s="3" t="n">
        <v>0.648</v>
      </c>
      <c r="J7" s="3" t="n">
        <v>3.1</v>
      </c>
      <c r="K7" s="3" t="n">
        <v>0.108</v>
      </c>
      <c r="L7" s="3" t="n">
        <v>0.1452</v>
      </c>
      <c r="M7" s="3" t="n">
        <v>0.158</v>
      </c>
      <c r="N7" s="3" t="n">
        <v>0.09</v>
      </c>
      <c r="O7" s="3" t="n">
        <v>0.558</v>
      </c>
      <c r="P7" s="3" t="n">
        <v>1</v>
      </c>
      <c r="Q7" s="3" t="s">
        <v>424</v>
      </c>
      <c r="R7" s="3" t="s">
        <v>392</v>
      </c>
      <c r="S7" s="3" t="s">
        <v>425</v>
      </c>
    </row>
    <row r="8" customFormat="false" ht="15" hidden="false" customHeight="false" outlineLevel="0" collapsed="false">
      <c r="A8" s="3" t="s">
        <v>110</v>
      </c>
      <c r="B8" s="3" t="s">
        <v>395</v>
      </c>
      <c r="C8" s="3" t="n">
        <v>0.328</v>
      </c>
      <c r="D8" s="3" t="n">
        <v>2.065</v>
      </c>
      <c r="E8" s="3" t="n">
        <v>2.55</v>
      </c>
      <c r="F8" s="3" t="n">
        <v>0.09</v>
      </c>
      <c r="G8" s="3" t="n">
        <v>0.1784</v>
      </c>
      <c r="H8" s="3" t="n">
        <v>0.112</v>
      </c>
      <c r="I8" s="3" t="n">
        <v>0.216</v>
      </c>
      <c r="J8" s="3" t="n">
        <v>2</v>
      </c>
      <c r="K8" s="3" t="n">
        <v>0.338</v>
      </c>
      <c r="L8" s="3" t="n">
        <v>0.1826</v>
      </c>
      <c r="M8" s="3" t="n">
        <v>0.338</v>
      </c>
      <c r="N8" s="3" t="n">
        <v>0.01</v>
      </c>
      <c r="O8" s="3" t="n">
        <v>0.206</v>
      </c>
      <c r="P8" s="3" t="n">
        <v>1</v>
      </c>
      <c r="Q8" s="3" t="s">
        <v>426</v>
      </c>
      <c r="R8" s="3" t="s">
        <v>392</v>
      </c>
      <c r="S8" s="3" t="s">
        <v>420</v>
      </c>
    </row>
    <row r="9" customFormat="false" ht="15" hidden="false" customHeight="false" outlineLevel="0" collapsed="false">
      <c r="A9" s="3" t="s">
        <v>33</v>
      </c>
      <c r="B9" s="3" t="s">
        <v>395</v>
      </c>
      <c r="C9" s="3" t="n">
        <v>0.172</v>
      </c>
      <c r="D9" s="3" t="n">
        <v>2.206</v>
      </c>
      <c r="E9" s="3" t="n">
        <v>1.75</v>
      </c>
      <c r="F9" s="3" t="n">
        <v>0.8</v>
      </c>
      <c r="G9" s="3" t="n">
        <v>0.1617</v>
      </c>
      <c r="H9" s="3" t="n">
        <v>0.778</v>
      </c>
      <c r="I9" s="3" t="n">
        <v>0.606</v>
      </c>
      <c r="J9" s="3" t="n">
        <v>2.15</v>
      </c>
      <c r="K9" s="3" t="n">
        <v>0.14</v>
      </c>
      <c r="L9" s="3" t="n">
        <v>0.1789</v>
      </c>
      <c r="M9" s="3" t="n">
        <v>0.149</v>
      </c>
      <c r="N9" s="3" t="n">
        <v>0.023</v>
      </c>
      <c r="O9" s="3" t="n">
        <v>0.583</v>
      </c>
      <c r="P9" s="3" t="n">
        <v>1</v>
      </c>
      <c r="Q9" s="3" t="s">
        <v>427</v>
      </c>
      <c r="R9" s="3" t="s">
        <v>392</v>
      </c>
      <c r="S9" s="3" t="s">
        <v>420</v>
      </c>
    </row>
    <row r="10" customFormat="false" ht="15" hidden="false" customHeight="false" outlineLevel="0" collapsed="false">
      <c r="A10" s="3" t="s">
        <v>131</v>
      </c>
      <c r="B10" s="3" t="s">
        <v>400</v>
      </c>
      <c r="C10" s="3" t="n">
        <v>0.6033</v>
      </c>
      <c r="D10" s="3" t="n">
        <v>2.002</v>
      </c>
      <c r="E10" s="3" t="n">
        <v>1.5</v>
      </c>
      <c r="F10" s="3" t="n">
        <v>0.94</v>
      </c>
      <c r="G10" s="3" t="n">
        <v>0.0704</v>
      </c>
      <c r="H10" s="3" t="n">
        <v>0.922</v>
      </c>
      <c r="I10" s="3" t="n">
        <v>0.318</v>
      </c>
      <c r="J10" s="3" t="n">
        <v>1.95</v>
      </c>
      <c r="K10" s="3" t="n">
        <v>0.583</v>
      </c>
      <c r="L10" s="3" t="n">
        <v>0.081</v>
      </c>
      <c r="M10" s="3" t="n">
        <v>0.577</v>
      </c>
      <c r="N10" s="3" t="n">
        <v>0.026</v>
      </c>
      <c r="O10" s="3" t="n">
        <v>0.292</v>
      </c>
      <c r="P10" s="3" t="n">
        <v>1</v>
      </c>
      <c r="Q10" s="3" t="s">
        <v>428</v>
      </c>
      <c r="R10" s="3" t="s">
        <v>392</v>
      </c>
      <c r="S10" s="3" t="s">
        <v>420</v>
      </c>
    </row>
    <row r="11" customFormat="false" ht="15" hidden="false" customHeight="false" outlineLevel="0" collapsed="false">
      <c r="A11" s="3" t="s">
        <v>137</v>
      </c>
      <c r="B11" s="3" t="s">
        <v>400</v>
      </c>
      <c r="C11" s="3" t="n">
        <v>0.6228</v>
      </c>
      <c r="D11" s="3" t="n">
        <v>2.005</v>
      </c>
      <c r="E11" s="3" t="n">
        <v>1.5</v>
      </c>
      <c r="F11" s="3" t="n">
        <v>0.94</v>
      </c>
      <c r="G11" s="3" t="n">
        <v>0.0623</v>
      </c>
      <c r="H11" s="3" t="n">
        <v>0.922</v>
      </c>
      <c r="I11" s="3" t="n">
        <v>0.299</v>
      </c>
      <c r="J11" s="3" t="n">
        <v>2.05</v>
      </c>
      <c r="K11" s="3" t="n">
        <v>0.613</v>
      </c>
      <c r="L11" s="3" t="n">
        <v>0.0799</v>
      </c>
      <c r="M11" s="3" t="n">
        <v>0.619</v>
      </c>
      <c r="N11" s="3" t="n">
        <v>0.004</v>
      </c>
      <c r="O11" s="3" t="n">
        <v>0.295</v>
      </c>
      <c r="P11" s="3" t="n">
        <v>1</v>
      </c>
      <c r="Q11" s="3" t="s">
        <v>429</v>
      </c>
      <c r="R11" s="3" t="s">
        <v>392</v>
      </c>
      <c r="S11" s="3" t="s">
        <v>420</v>
      </c>
    </row>
    <row r="12" customFormat="false" ht="15" hidden="false" customHeight="false" outlineLevel="0" collapsed="false">
      <c r="A12" s="3" t="s">
        <v>140</v>
      </c>
      <c r="B12" s="3" t="s">
        <v>400</v>
      </c>
      <c r="C12" s="3" t="n">
        <v>0.3612</v>
      </c>
      <c r="D12" s="3" t="n">
        <v>2.002</v>
      </c>
      <c r="E12" s="3" t="n">
        <v>2.05</v>
      </c>
      <c r="F12" s="3" t="n">
        <v>0.74</v>
      </c>
      <c r="G12" s="3" t="n">
        <v>0.0741</v>
      </c>
      <c r="H12" s="3" t="n">
        <v>0.745</v>
      </c>
      <c r="I12" s="3" t="n">
        <v>0.384</v>
      </c>
      <c r="J12" s="3" t="n">
        <v>3.1</v>
      </c>
      <c r="K12" s="3" t="n">
        <v>0.451</v>
      </c>
      <c r="L12" s="3" t="n">
        <v>0.1165</v>
      </c>
      <c r="M12" s="3" t="n">
        <v>0.56</v>
      </c>
      <c r="N12" s="3" t="n">
        <v>0.199</v>
      </c>
      <c r="O12" s="3" t="n">
        <v>0.184</v>
      </c>
      <c r="P12" s="3" t="n">
        <v>1</v>
      </c>
      <c r="Q12" s="3" t="s">
        <v>430</v>
      </c>
      <c r="R12" s="3" t="s">
        <v>392</v>
      </c>
      <c r="S12" s="3" t="s">
        <v>431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32" activeCellId="0" sqref="F32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4"/>
    <col collapsed="false" customWidth="true" hidden="false" outlineLevel="0" max="3" min="3" style="1" width="14"/>
    <col collapsed="false" customWidth="true" hidden="false" outlineLevel="0" max="4" min="4" style="1" width="35"/>
    <col collapsed="false" customWidth="true" hidden="false" outlineLevel="0" max="6" min="5" style="1" width="25"/>
    <col collapsed="false" customWidth="true" hidden="false" outlineLevel="0" max="7" min="7" style="1" width="35"/>
    <col collapsed="false" customWidth="true" hidden="false" outlineLevel="0" max="8" min="8" style="1" width="8"/>
  </cols>
  <sheetData>
    <row r="1" customFormat="false" ht="23.25" hidden="false" customHeight="true" outlineLevel="0" collapsed="false">
      <c r="A1" s="2" t="s">
        <v>432</v>
      </c>
      <c r="B1" s="2" t="s">
        <v>433</v>
      </c>
      <c r="C1" s="2" t="s">
        <v>434</v>
      </c>
      <c r="D1" s="2" t="s">
        <v>435</v>
      </c>
      <c r="E1" s="2" t="s">
        <v>436</v>
      </c>
      <c r="F1" s="2" t="s">
        <v>437</v>
      </c>
      <c r="G1" s="2" t="s">
        <v>438</v>
      </c>
      <c r="H1" s="2" t="s">
        <v>439</v>
      </c>
    </row>
    <row r="2" customFormat="false" ht="15" hidden="false" customHeight="false" outlineLevel="0" collapsed="false">
      <c r="A2" s="3" t="s">
        <v>440</v>
      </c>
      <c r="B2" s="3" t="s">
        <v>441</v>
      </c>
      <c r="C2" s="3" t="s">
        <v>442</v>
      </c>
      <c r="D2" s="3" t="s">
        <v>440</v>
      </c>
      <c r="E2" s="3" t="s">
        <v>440</v>
      </c>
      <c r="F2" s="3" t="s">
        <v>440</v>
      </c>
      <c r="G2" s="3" t="s">
        <v>443</v>
      </c>
      <c r="H2" s="3" t="s">
        <v>444</v>
      </c>
    </row>
    <row r="3" customFormat="false" ht="15" hidden="false" customHeight="false" outlineLevel="0" collapsed="false">
      <c r="A3" s="3" t="s">
        <v>445</v>
      </c>
      <c r="B3" s="3" t="s">
        <v>446</v>
      </c>
      <c r="C3" s="3" t="s">
        <v>447</v>
      </c>
      <c r="D3" s="3" t="s">
        <v>448</v>
      </c>
      <c r="E3" s="3" t="n">
        <v>0.0070355</v>
      </c>
      <c r="F3" s="3" t="s">
        <v>449</v>
      </c>
      <c r="G3" s="3" t="s">
        <v>450</v>
      </c>
      <c r="H3" s="3" t="s">
        <v>444</v>
      </c>
    </row>
    <row r="4" customFormat="false" ht="15" hidden="false" customHeight="false" outlineLevel="0" collapsed="false">
      <c r="A4" s="3" t="s">
        <v>451</v>
      </c>
      <c r="B4" s="3" t="s">
        <v>446</v>
      </c>
      <c r="C4" s="3" t="s">
        <v>452</v>
      </c>
      <c r="D4" s="3" t="s">
        <v>453</v>
      </c>
      <c r="E4" s="3" t="n">
        <v>0.045183</v>
      </c>
      <c r="F4" s="3" t="s">
        <v>454</v>
      </c>
      <c r="G4" s="3" t="s">
        <v>455</v>
      </c>
      <c r="H4" s="3" t="s">
        <v>444</v>
      </c>
    </row>
    <row r="5" customFormat="false" ht="15" hidden="false" customHeight="false" outlineLevel="0" collapsed="false">
      <c r="A5" s="3" t="s">
        <v>456</v>
      </c>
      <c r="B5" s="3" t="s">
        <v>446</v>
      </c>
      <c r="C5" s="3" t="s">
        <v>457</v>
      </c>
      <c r="D5" s="3" t="s">
        <v>458</v>
      </c>
      <c r="E5" s="3" t="n">
        <v>3.9035E-008</v>
      </c>
      <c r="F5" s="3" t="s">
        <v>459</v>
      </c>
      <c r="G5" s="3" t="s">
        <v>460</v>
      </c>
      <c r="H5" s="3" t="s">
        <v>444</v>
      </c>
    </row>
    <row r="8" customFormat="false" ht="23.25" hidden="false" customHeight="true" outlineLevel="0" collapsed="false">
      <c r="A8" s="2" t="s">
        <v>0</v>
      </c>
      <c r="B8" s="2" t="s">
        <v>461</v>
      </c>
      <c r="C8" s="2" t="s">
        <v>2</v>
      </c>
      <c r="D8" s="2" t="s">
        <v>462</v>
      </c>
      <c r="E8" s="2" t="s">
        <v>463</v>
      </c>
      <c r="F8" s="2" t="s">
        <v>464</v>
      </c>
      <c r="G8" s="2" t="s">
        <v>389</v>
      </c>
    </row>
    <row r="9" customFormat="false" ht="15" hidden="false" customHeight="false" outlineLevel="0" collapsed="false">
      <c r="A9" s="3" t="s">
        <v>48</v>
      </c>
      <c r="B9" s="3" t="n">
        <v>0.455</v>
      </c>
      <c r="C9" s="3" t="s">
        <v>50</v>
      </c>
      <c r="D9" s="11" t="b">
        <f aca="false">TRUE()</f>
        <v>1</v>
      </c>
      <c r="E9" s="3" t="n">
        <v>0</v>
      </c>
      <c r="F9" s="3" t="n">
        <v>0</v>
      </c>
      <c r="G9" s="3" t="s">
        <v>465</v>
      </c>
    </row>
    <row r="10" customFormat="false" ht="15" hidden="false" customHeight="false" outlineLevel="0" collapsed="false">
      <c r="A10" s="3" t="s">
        <v>33</v>
      </c>
      <c r="B10" s="3" t="n">
        <v>0.172</v>
      </c>
      <c r="C10" s="3" t="s">
        <v>13</v>
      </c>
      <c r="D10" s="11" t="b">
        <f aca="false">TRUE()</f>
        <v>1</v>
      </c>
      <c r="E10" s="3" t="n">
        <v>0</v>
      </c>
      <c r="F10" s="3" t="n">
        <v>0</v>
      </c>
      <c r="G10" s="3"/>
    </row>
    <row r="11" customFormat="false" ht="15" hidden="false" customHeight="false" outlineLevel="0" collapsed="false">
      <c r="A11" s="3" t="s">
        <v>140</v>
      </c>
      <c r="B11" s="3" t="n">
        <v>0.361</v>
      </c>
      <c r="C11" s="3" t="s">
        <v>142</v>
      </c>
      <c r="D11" s="11" t="b">
        <f aca="false">TRUE()</f>
        <v>1</v>
      </c>
      <c r="E11" s="3" t="n">
        <v>0</v>
      </c>
      <c r="F11" s="3" t="n">
        <v>0</v>
      </c>
      <c r="G11" s="3"/>
    </row>
    <row r="12" customFormat="false" ht="15" hidden="false" customHeight="false" outlineLevel="0" collapsed="false">
      <c r="A12" s="3" t="s">
        <v>137</v>
      </c>
      <c r="B12" s="3" t="n">
        <v>0.623</v>
      </c>
      <c r="C12" s="3" t="s">
        <v>28</v>
      </c>
      <c r="D12" s="11" t="b">
        <f aca="false">TRUE()</f>
        <v>1</v>
      </c>
      <c r="E12" s="3" t="n">
        <v>0</v>
      </c>
      <c r="F12" s="3" t="n">
        <v>0</v>
      </c>
      <c r="G12" s="3"/>
    </row>
    <row r="13" customFormat="false" ht="15" hidden="false" customHeight="false" outlineLevel="0" collapsed="false">
      <c r="A13" s="3" t="s">
        <v>131</v>
      </c>
      <c r="B13" s="3" t="n">
        <v>0.603</v>
      </c>
      <c r="C13" s="3" t="s">
        <v>13</v>
      </c>
      <c r="D13" s="11" t="b">
        <f aca="false">TRUE()</f>
        <v>1</v>
      </c>
      <c r="E13" s="3" t="n">
        <v>0</v>
      </c>
      <c r="F13" s="3" t="n">
        <v>0</v>
      </c>
      <c r="G13" s="3"/>
    </row>
    <row r="14" customFormat="false" ht="15" hidden="false" customHeight="false" outlineLevel="0" collapsed="false">
      <c r="A14" s="3" t="s">
        <v>11</v>
      </c>
      <c r="B14" s="3" t="n">
        <v>0.063</v>
      </c>
      <c r="C14" s="3" t="s">
        <v>13</v>
      </c>
      <c r="D14" s="11" t="b">
        <f aca="false">TRUE()</f>
        <v>1</v>
      </c>
      <c r="E14" s="3" t="n">
        <v>1</v>
      </c>
      <c r="F14" s="3" t="n">
        <v>1</v>
      </c>
      <c r="G14" s="3" t="s">
        <v>466</v>
      </c>
    </row>
    <row r="15" customFormat="false" ht="15" hidden="false" customHeight="false" outlineLevel="0" collapsed="false">
      <c r="A15" s="3" t="s">
        <v>115</v>
      </c>
      <c r="B15" s="3" t="n">
        <v>0.036</v>
      </c>
      <c r="C15" s="3" t="s">
        <v>28</v>
      </c>
      <c r="D15" s="11" t="b">
        <f aca="false">TRUE()</f>
        <v>1</v>
      </c>
      <c r="E15" s="3" t="n">
        <v>1</v>
      </c>
      <c r="F15" s="3" t="n">
        <v>1</v>
      </c>
      <c r="G15" s="3" t="s">
        <v>466</v>
      </c>
    </row>
    <row r="16" customFormat="false" ht="15" hidden="false" customHeight="false" outlineLevel="0" collapsed="false">
      <c r="A16" s="3" t="s">
        <v>54</v>
      </c>
      <c r="B16" s="3" t="n">
        <v>0.577</v>
      </c>
      <c r="C16" s="3" t="s">
        <v>56</v>
      </c>
      <c r="D16" s="11" t="b">
        <f aca="false">TRUE()</f>
        <v>1</v>
      </c>
      <c r="E16" s="3" t="n">
        <v>1</v>
      </c>
      <c r="F16" s="3" t="n">
        <v>1</v>
      </c>
      <c r="G16" s="3" t="s">
        <v>466</v>
      </c>
    </row>
    <row r="17" customFormat="false" ht="15" hidden="false" customHeight="false" outlineLevel="0" collapsed="false">
      <c r="A17" s="3" t="s">
        <v>18</v>
      </c>
      <c r="B17" s="3" t="n">
        <v>0.054</v>
      </c>
      <c r="C17" s="3" t="s">
        <v>13</v>
      </c>
      <c r="D17" s="11" t="b">
        <f aca="false">TRUE()</f>
        <v>1</v>
      </c>
      <c r="E17" s="3" t="n">
        <v>1</v>
      </c>
      <c r="F17" s="3" t="n">
        <v>1</v>
      </c>
      <c r="G17" s="3" t="s">
        <v>466</v>
      </c>
    </row>
    <row r="18" customFormat="false" ht="15" hidden="false" customHeight="false" outlineLevel="0" collapsed="false">
      <c r="A18" s="3" t="s">
        <v>65</v>
      </c>
      <c r="B18" s="3" t="n">
        <v>0.224</v>
      </c>
      <c r="C18" s="3" t="s">
        <v>13</v>
      </c>
      <c r="D18" s="11" t="b">
        <f aca="false">TRUE()</f>
        <v>1</v>
      </c>
      <c r="E18" s="3" t="n">
        <v>1</v>
      </c>
      <c r="F18" s="3" t="n">
        <v>1</v>
      </c>
      <c r="G18" s="3" t="s">
        <v>466</v>
      </c>
    </row>
    <row r="19" customFormat="false" ht="15" hidden="false" customHeight="false" outlineLevel="0" collapsed="false">
      <c r="A19" s="3" t="s">
        <v>105</v>
      </c>
      <c r="B19" s="3" t="n">
        <v>0.248</v>
      </c>
      <c r="C19" s="3" t="s">
        <v>28</v>
      </c>
      <c r="D19" s="11" t="b">
        <f aca="false">TRUE()</f>
        <v>1</v>
      </c>
      <c r="E19" s="3" t="n">
        <v>2</v>
      </c>
      <c r="F19" s="3" t="n">
        <v>2</v>
      </c>
      <c r="G19" s="3" t="s">
        <v>467</v>
      </c>
    </row>
    <row r="20" customFormat="false" ht="15" hidden="false" customHeight="false" outlineLevel="0" collapsed="false">
      <c r="A20" s="3" t="s">
        <v>90</v>
      </c>
      <c r="B20" s="3" t="n">
        <v>0.072</v>
      </c>
      <c r="C20" s="3" t="s">
        <v>13</v>
      </c>
      <c r="D20" s="11" t="b">
        <f aca="false">TRUE()</f>
        <v>1</v>
      </c>
      <c r="E20" s="3" t="n">
        <v>2</v>
      </c>
      <c r="F20" s="3" t="n">
        <v>2</v>
      </c>
      <c r="G20" s="3" t="s">
        <v>468</v>
      </c>
    </row>
    <row r="21" customFormat="false" ht="15" hidden="false" customHeight="false" outlineLevel="0" collapsed="false">
      <c r="A21" s="3" t="s">
        <v>70</v>
      </c>
      <c r="B21" s="3" t="n">
        <v>0.284</v>
      </c>
      <c r="C21" s="3" t="s">
        <v>28</v>
      </c>
      <c r="D21" s="11" t="b">
        <f aca="false">TRUE()</f>
        <v>1</v>
      </c>
      <c r="E21" s="3" t="n">
        <v>2</v>
      </c>
      <c r="F21" s="3" t="n">
        <v>2</v>
      </c>
      <c r="G21" s="3" t="s">
        <v>467</v>
      </c>
    </row>
    <row r="22" customFormat="false" ht="15" hidden="false" customHeight="false" outlineLevel="0" collapsed="false">
      <c r="A22" s="3" t="s">
        <v>43</v>
      </c>
      <c r="B22" s="3" t="n">
        <v>0.084</v>
      </c>
      <c r="C22" s="3" t="s">
        <v>13</v>
      </c>
      <c r="D22" s="11" t="b">
        <f aca="false">TRUE()</f>
        <v>1</v>
      </c>
      <c r="E22" s="3" t="n">
        <v>2</v>
      </c>
      <c r="F22" s="3" t="n">
        <v>2</v>
      </c>
      <c r="G22" s="3" t="s">
        <v>468</v>
      </c>
    </row>
    <row r="23" customFormat="false" ht="15" hidden="false" customHeight="false" outlineLevel="0" collapsed="false">
      <c r="A23" s="3" t="s">
        <v>128</v>
      </c>
      <c r="B23" s="3" t="n">
        <v>0.064</v>
      </c>
      <c r="C23" s="3" t="s">
        <v>13</v>
      </c>
      <c r="D23" s="11" t="b">
        <f aca="false">TRUE()</f>
        <v>1</v>
      </c>
      <c r="E23" s="3" t="n">
        <v>2</v>
      </c>
      <c r="F23" s="3" t="n">
        <v>2</v>
      </c>
      <c r="G23" s="3" t="s">
        <v>467</v>
      </c>
    </row>
    <row r="24" customFormat="false" ht="15" hidden="false" customHeight="false" outlineLevel="0" collapsed="false">
      <c r="A24" s="3" t="s">
        <v>38</v>
      </c>
      <c r="B24" s="3" t="n">
        <v>0.045</v>
      </c>
      <c r="C24" s="3" t="s">
        <v>13</v>
      </c>
      <c r="D24" s="11" t="b">
        <f aca="false">TRUE()</f>
        <v>1</v>
      </c>
      <c r="E24" s="3" t="n">
        <v>2</v>
      </c>
      <c r="F24" s="3" t="n">
        <v>2</v>
      </c>
      <c r="G24" s="3" t="s">
        <v>468</v>
      </c>
    </row>
    <row r="25" customFormat="false" ht="15" hidden="false" customHeight="false" outlineLevel="0" collapsed="false">
      <c r="A25" s="3" t="s">
        <v>110</v>
      </c>
      <c r="B25" s="3" t="n">
        <v>0.328</v>
      </c>
      <c r="C25" s="3" t="s">
        <v>28</v>
      </c>
      <c r="D25" s="11" t="b">
        <f aca="false">TRUE()</f>
        <v>1</v>
      </c>
      <c r="E25" s="3" t="n">
        <v>2</v>
      </c>
      <c r="F25" s="3" t="n">
        <v>2</v>
      </c>
      <c r="G25" s="3" t="s">
        <v>467</v>
      </c>
    </row>
    <row r="26" customFormat="false" ht="15" hidden="false" customHeight="false" outlineLevel="0" collapsed="false">
      <c r="A26" s="3" t="s">
        <v>30</v>
      </c>
      <c r="B26" s="3" t="n">
        <v>0.038</v>
      </c>
      <c r="C26" s="3" t="s">
        <v>13</v>
      </c>
      <c r="D26" s="11" t="b">
        <f aca="false">TRUE()</f>
        <v>1</v>
      </c>
      <c r="E26" s="3" t="n">
        <v>2</v>
      </c>
      <c r="F26" s="3" t="n">
        <v>2</v>
      </c>
      <c r="G26" s="3" t="s">
        <v>468</v>
      </c>
    </row>
    <row r="27" customFormat="false" ht="15" hidden="false" customHeight="false" outlineLevel="0" collapsed="false">
      <c r="A27" s="3" t="s">
        <v>124</v>
      </c>
      <c r="B27" s="3" t="n">
        <v>0.049</v>
      </c>
      <c r="C27" s="3" t="s">
        <v>126</v>
      </c>
      <c r="D27" s="11" t="b">
        <f aca="false">TRUE()</f>
        <v>1</v>
      </c>
      <c r="E27" s="3" t="n">
        <v>2</v>
      </c>
      <c r="F27" s="3" t="n">
        <v>2</v>
      </c>
      <c r="G27" s="3" t="s">
        <v>467</v>
      </c>
    </row>
    <row r="28" customFormat="false" ht="15" hidden="false" customHeight="false" outlineLevel="0" collapsed="false">
      <c r="A28" s="3" t="s">
        <v>60</v>
      </c>
      <c r="B28" s="3" t="n">
        <v>0.507</v>
      </c>
      <c r="C28" s="3" t="s">
        <v>28</v>
      </c>
      <c r="D28" s="11" t="b">
        <f aca="false">TRUE()</f>
        <v>1</v>
      </c>
      <c r="E28" s="3" t="n">
        <v>2</v>
      </c>
      <c r="F28" s="3" t="n">
        <v>2</v>
      </c>
      <c r="G28" s="3" t="s">
        <v>468</v>
      </c>
    </row>
    <row r="30" customFormat="false" ht="23.25" hidden="false" customHeight="true" outlineLevel="0" collapsed="false">
      <c r="A30" s="2" t="s">
        <v>439</v>
      </c>
      <c r="B30" s="2" t="s">
        <v>469</v>
      </c>
      <c r="C30" s="2" t="s">
        <v>470</v>
      </c>
      <c r="D30" s="2" t="s">
        <v>471</v>
      </c>
      <c r="E30" s="2" t="s">
        <v>389</v>
      </c>
    </row>
    <row r="31" customFormat="false" ht="35.05" hidden="false" customHeight="false" outlineLevel="0" collapsed="false">
      <c r="A31" s="12" t="s">
        <v>472</v>
      </c>
      <c r="B31" s="12" t="s">
        <v>473</v>
      </c>
      <c r="C31" s="12" t="s">
        <v>474</v>
      </c>
      <c r="D31" s="12" t="n">
        <v>6</v>
      </c>
      <c r="E31" s="12" t="s">
        <v>475</v>
      </c>
    </row>
    <row r="32" customFormat="false" ht="46.25" hidden="false" customHeight="false" outlineLevel="0" collapsed="false">
      <c r="A32" s="12" t="s">
        <v>476</v>
      </c>
      <c r="B32" s="12" t="s">
        <v>477</v>
      </c>
      <c r="C32" s="12" t="s">
        <v>478</v>
      </c>
      <c r="D32" s="12" t="n">
        <v>3</v>
      </c>
      <c r="E32" s="12" t="s">
        <v>479</v>
      </c>
    </row>
    <row r="34" customFormat="false" ht="23.25" hidden="false" customHeight="true" outlineLevel="0" collapsed="false">
      <c r="A34" s="2" t="s">
        <v>480</v>
      </c>
      <c r="B34" s="2" t="s">
        <v>481</v>
      </c>
      <c r="C34" s="2" t="s">
        <v>482</v>
      </c>
      <c r="D34" s="2" t="s">
        <v>483</v>
      </c>
      <c r="E34" s="2" t="s">
        <v>484</v>
      </c>
      <c r="F34" s="2" t="s">
        <v>389</v>
      </c>
    </row>
    <row r="35" customFormat="false" ht="15" hidden="false" customHeight="false" outlineLevel="0" collapsed="false">
      <c r="A35" s="3" t="s">
        <v>485</v>
      </c>
      <c r="B35" s="3" t="n">
        <v>0.45</v>
      </c>
      <c r="C35" s="3" t="n">
        <v>0.0467</v>
      </c>
      <c r="D35" s="3" t="s">
        <v>391</v>
      </c>
      <c r="E35" s="3" t="s">
        <v>486</v>
      </c>
      <c r="F35" s="3" t="s">
        <v>487</v>
      </c>
    </row>
    <row r="36" customFormat="false" ht="15" hidden="false" customHeight="false" outlineLevel="0" collapsed="false">
      <c r="A36" s="3" t="s">
        <v>488</v>
      </c>
      <c r="B36" s="3" t="n">
        <v>0.353</v>
      </c>
      <c r="C36" s="3" t="n">
        <v>0.1263</v>
      </c>
      <c r="D36" s="3" t="s">
        <v>391</v>
      </c>
      <c r="E36" s="3" t="s">
        <v>489</v>
      </c>
      <c r="F36" s="3"/>
    </row>
    <row r="37" customFormat="false" ht="15" hidden="false" customHeight="false" outlineLevel="0" collapsed="false">
      <c r="A37" s="3" t="s">
        <v>490</v>
      </c>
      <c r="B37" s="3" t="n">
        <v>0.372</v>
      </c>
      <c r="C37" s="3" t="n">
        <v>0.1064</v>
      </c>
      <c r="D37" s="3" t="s">
        <v>391</v>
      </c>
      <c r="E37" s="3" t="s">
        <v>489</v>
      </c>
      <c r="F37" s="3" t="s">
        <v>491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0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pane xSplit="0" ySplit="1" topLeftCell="A2" activePane="bottomLeft" state="frozen"/>
      <selection pane="topLeft" activeCell="E1" activeCellId="0" sqref="E1"/>
      <selection pane="bottomLeft" activeCell="L12" activeCellId="0" sqref="L12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8"/>
    <col collapsed="false" customWidth="true" hidden="false" outlineLevel="0" max="4" min="3" style="1" width="18"/>
    <col collapsed="false" customWidth="true" hidden="false" outlineLevel="0" max="5" min="5" style="1" width="15"/>
    <col collapsed="false" customWidth="true" hidden="false" outlineLevel="0" max="6" min="6" style="1" width="22"/>
    <col collapsed="false" customWidth="true" hidden="false" outlineLevel="0" max="7" min="7" style="1" width="14"/>
    <col collapsed="false" customWidth="true" hidden="false" outlineLevel="0" max="8" min="8" style="1" width="25"/>
    <col collapsed="false" customWidth="true" hidden="false" outlineLevel="0" max="9" min="9" style="1" width="24"/>
    <col collapsed="false" customWidth="true" hidden="false" outlineLevel="0" max="10" min="10" style="1" width="16"/>
    <col collapsed="false" customWidth="true" hidden="false" outlineLevel="0" max="11" min="11" style="1" width="22"/>
    <col collapsed="false" customWidth="true" hidden="false" outlineLevel="0" max="12" min="12" style="1" width="40"/>
  </cols>
  <sheetData>
    <row r="1" customFormat="false" ht="23.25" hidden="false" customHeight="true" outlineLevel="0" collapsed="false">
      <c r="A1" s="2" t="s">
        <v>0</v>
      </c>
      <c r="B1" s="2" t="s">
        <v>375</v>
      </c>
      <c r="C1" s="2" t="s">
        <v>492</v>
      </c>
      <c r="D1" s="2" t="s">
        <v>333</v>
      </c>
      <c r="E1" s="2" t="s">
        <v>462</v>
      </c>
      <c r="F1" s="2" t="s">
        <v>493</v>
      </c>
      <c r="G1" s="2" t="s">
        <v>494</v>
      </c>
      <c r="H1" s="2" t="s">
        <v>495</v>
      </c>
      <c r="I1" s="2" t="s">
        <v>496</v>
      </c>
      <c r="J1" s="2" t="s">
        <v>497</v>
      </c>
      <c r="K1" s="2" t="s">
        <v>498</v>
      </c>
      <c r="L1" s="2" t="s">
        <v>389</v>
      </c>
    </row>
    <row r="2" customFormat="false" ht="15" hidden="false" customHeight="false" outlineLevel="0" collapsed="false">
      <c r="A2" s="12" t="s">
        <v>11</v>
      </c>
      <c r="B2" s="12" t="s">
        <v>499</v>
      </c>
      <c r="C2" s="12" t="n">
        <v>0.06348</v>
      </c>
      <c r="D2" s="12" t="s">
        <v>353</v>
      </c>
      <c r="E2" s="13" t="b">
        <f aca="false">TRUE()</f>
        <v>1</v>
      </c>
      <c r="F2" s="12" t="s">
        <v>500</v>
      </c>
      <c r="G2" s="12" t="n">
        <v>11379713</v>
      </c>
      <c r="H2" s="12" t="n">
        <v>160</v>
      </c>
      <c r="I2" s="12" t="n">
        <v>166</v>
      </c>
      <c r="J2" s="12" t="n">
        <v>0.470023</v>
      </c>
      <c r="K2" s="12" t="n">
        <v>0.000212</v>
      </c>
      <c r="L2" s="12"/>
    </row>
    <row r="3" customFormat="false" ht="15" hidden="false" customHeight="false" outlineLevel="0" collapsed="false">
      <c r="A3" s="12" t="s">
        <v>18</v>
      </c>
      <c r="B3" s="12" t="s">
        <v>499</v>
      </c>
      <c r="C3" s="12" t="n">
        <v>0.05354</v>
      </c>
      <c r="D3" s="12" t="s">
        <v>353</v>
      </c>
      <c r="E3" s="13" t="b">
        <f aca="false">TRUE()</f>
        <v>1</v>
      </c>
      <c r="F3" s="12" t="s">
        <v>500</v>
      </c>
      <c r="G3" s="12" t="n">
        <v>11305685</v>
      </c>
      <c r="H3" s="12" t="n">
        <v>165</v>
      </c>
      <c r="I3" s="12" t="n">
        <v>167</v>
      </c>
      <c r="J3" s="12" t="n">
        <v>0.263095</v>
      </c>
      <c r="K3" s="12" t="n">
        <v>0</v>
      </c>
      <c r="L3" s="12"/>
    </row>
    <row r="4" customFormat="false" ht="15" hidden="false" customHeight="false" outlineLevel="0" collapsed="false">
      <c r="A4" s="12" t="s">
        <v>22</v>
      </c>
      <c r="B4" s="12" t="s">
        <v>499</v>
      </c>
      <c r="C4" s="12" t="n">
        <v>0.01883</v>
      </c>
      <c r="D4" s="12" t="s">
        <v>357</v>
      </c>
      <c r="E4" s="13" t="b">
        <f aca="false">FALSE()</f>
        <v>0</v>
      </c>
      <c r="F4" s="12" t="s">
        <v>500</v>
      </c>
      <c r="G4" s="12" t="n">
        <v>11929782</v>
      </c>
      <c r="H4" s="12" t="n">
        <v>169</v>
      </c>
      <c r="I4" s="12" t="n">
        <v>168</v>
      </c>
      <c r="J4" s="12" t="n">
        <v>0.178375</v>
      </c>
      <c r="K4" s="12" t="n">
        <v>0.003402</v>
      </c>
      <c r="L4" s="12" t="s">
        <v>501</v>
      </c>
    </row>
    <row r="5" customFormat="false" ht="15" hidden="false" customHeight="false" outlineLevel="0" collapsed="false">
      <c r="A5" s="12" t="s">
        <v>26</v>
      </c>
      <c r="B5" s="12" t="s">
        <v>499</v>
      </c>
      <c r="C5" s="12" t="n">
        <v>0.02921</v>
      </c>
      <c r="D5" s="12" t="s">
        <v>357</v>
      </c>
      <c r="E5" s="13" t="b">
        <f aca="false">FALSE()</f>
        <v>0</v>
      </c>
      <c r="F5" s="12" t="s">
        <v>500</v>
      </c>
      <c r="G5" s="12" t="n">
        <v>10940198</v>
      </c>
      <c r="H5" s="12" t="n">
        <v>163</v>
      </c>
      <c r="I5" s="12" t="n">
        <v>167</v>
      </c>
      <c r="J5" s="12" t="n">
        <v>0.403679</v>
      </c>
      <c r="K5" s="12" t="n">
        <v>0.000613</v>
      </c>
      <c r="L5" s="12" t="s">
        <v>501</v>
      </c>
    </row>
    <row r="6" customFormat="false" ht="15" hidden="false" customHeight="false" outlineLevel="0" collapsed="false">
      <c r="A6" s="12" t="s">
        <v>30</v>
      </c>
      <c r="B6" s="12" t="s">
        <v>499</v>
      </c>
      <c r="C6" s="12" t="n">
        <v>0.03841</v>
      </c>
      <c r="D6" s="12" t="s">
        <v>353</v>
      </c>
      <c r="E6" s="13" t="b">
        <f aca="false">TRUE()</f>
        <v>1</v>
      </c>
      <c r="F6" s="12" t="s">
        <v>500</v>
      </c>
      <c r="G6" s="12" t="n">
        <v>10355895</v>
      </c>
      <c r="H6" s="12" t="n">
        <v>164</v>
      </c>
      <c r="I6" s="12" t="n">
        <v>167</v>
      </c>
      <c r="J6" s="12" t="n">
        <v>0.386017</v>
      </c>
      <c r="K6" s="12" t="n">
        <v>0.005313</v>
      </c>
      <c r="L6" s="12"/>
    </row>
    <row r="7" customFormat="false" ht="15" hidden="false" customHeight="false" outlineLevel="0" collapsed="false">
      <c r="A7" s="12" t="s">
        <v>33</v>
      </c>
      <c r="B7" s="12" t="s">
        <v>502</v>
      </c>
      <c r="C7" s="12" t="n">
        <v>0.1718</v>
      </c>
      <c r="D7" s="12" t="s">
        <v>362</v>
      </c>
      <c r="E7" s="13" t="b">
        <f aca="false">TRUE()</f>
        <v>1</v>
      </c>
      <c r="F7" s="12" t="s">
        <v>500</v>
      </c>
      <c r="G7" s="12" t="n">
        <v>8973267</v>
      </c>
      <c r="H7" s="12" t="n">
        <v>161</v>
      </c>
      <c r="I7" s="12" t="n">
        <v>166</v>
      </c>
      <c r="J7" s="12" t="n">
        <v>0.441091</v>
      </c>
      <c r="K7" s="12" t="n">
        <v>0</v>
      </c>
      <c r="L7" s="12"/>
    </row>
    <row r="8" customFormat="false" ht="15" hidden="false" customHeight="false" outlineLevel="0" collapsed="false">
      <c r="A8" s="12" t="s">
        <v>38</v>
      </c>
      <c r="B8" s="12" t="s">
        <v>502</v>
      </c>
      <c r="C8" s="12" t="n">
        <v>0.04475</v>
      </c>
      <c r="D8" s="12" t="s">
        <v>353</v>
      </c>
      <c r="E8" s="13" t="b">
        <f aca="false">TRUE()</f>
        <v>1</v>
      </c>
      <c r="F8" s="12" t="s">
        <v>500</v>
      </c>
      <c r="G8" s="12" t="n">
        <v>8201770</v>
      </c>
      <c r="H8" s="12" t="n">
        <v>163</v>
      </c>
      <c r="I8" s="12" t="n">
        <v>167</v>
      </c>
      <c r="J8" s="12" t="n">
        <v>0.336333</v>
      </c>
      <c r="K8" s="12" t="n">
        <v>0</v>
      </c>
      <c r="L8" s="12"/>
    </row>
    <row r="9" customFormat="false" ht="15" hidden="false" customHeight="false" outlineLevel="0" collapsed="false">
      <c r="A9" s="12" t="s">
        <v>43</v>
      </c>
      <c r="B9" s="12" t="s">
        <v>502</v>
      </c>
      <c r="C9" s="12" t="n">
        <v>0.08393</v>
      </c>
      <c r="D9" s="12" t="s">
        <v>353</v>
      </c>
      <c r="E9" s="13" t="b">
        <f aca="false">TRUE()</f>
        <v>1</v>
      </c>
      <c r="F9" s="12" t="s">
        <v>500</v>
      </c>
      <c r="G9" s="12" t="n">
        <v>7548579</v>
      </c>
      <c r="H9" s="12" t="n">
        <v>160</v>
      </c>
      <c r="I9" s="12" t="n">
        <v>166</v>
      </c>
      <c r="J9" s="12" t="n">
        <v>0.45645</v>
      </c>
      <c r="K9" s="12" t="n">
        <v>0</v>
      </c>
      <c r="L9" s="12"/>
    </row>
    <row r="10" customFormat="false" ht="15" hidden="false" customHeight="false" outlineLevel="0" collapsed="false">
      <c r="A10" s="12" t="s">
        <v>48</v>
      </c>
      <c r="B10" s="12" t="s">
        <v>502</v>
      </c>
      <c r="C10" s="12" t="n">
        <v>0.4552</v>
      </c>
      <c r="D10" s="12" t="s">
        <v>366</v>
      </c>
      <c r="E10" s="13" t="b">
        <f aca="false">TRUE()</f>
        <v>1</v>
      </c>
      <c r="F10" s="12" t="s">
        <v>500</v>
      </c>
      <c r="G10" s="12" t="n">
        <v>7988797</v>
      </c>
      <c r="H10" s="12" t="n">
        <v>165</v>
      </c>
      <c r="I10" s="12" t="n">
        <v>167</v>
      </c>
      <c r="J10" s="12" t="n">
        <v>0.338634</v>
      </c>
      <c r="K10" s="12" t="n">
        <v>0.002614</v>
      </c>
      <c r="L10" s="12"/>
    </row>
    <row r="11" customFormat="false" ht="15" hidden="false" customHeight="false" outlineLevel="0" collapsed="false">
      <c r="A11" s="12" t="s">
        <v>54</v>
      </c>
      <c r="B11" s="12" t="s">
        <v>502</v>
      </c>
      <c r="C11" s="12" t="n">
        <v>0.5769</v>
      </c>
      <c r="D11" s="12" t="s">
        <v>366</v>
      </c>
      <c r="E11" s="13" t="b">
        <f aca="false">TRUE()</f>
        <v>1</v>
      </c>
      <c r="F11" s="12" t="s">
        <v>500</v>
      </c>
      <c r="G11" s="12" t="n">
        <v>8657383</v>
      </c>
      <c r="H11" s="12" t="n">
        <v>161</v>
      </c>
      <c r="I11" s="12" t="n">
        <v>166</v>
      </c>
      <c r="J11" s="12" t="n">
        <v>0.433903</v>
      </c>
      <c r="K11" s="12" t="n">
        <v>0</v>
      </c>
      <c r="L11" s="12"/>
    </row>
    <row r="12" customFormat="false" ht="15" hidden="false" customHeight="false" outlineLevel="0" collapsed="false">
      <c r="A12" s="12" t="s">
        <v>60</v>
      </c>
      <c r="B12" s="12" t="s">
        <v>502</v>
      </c>
      <c r="C12" s="12" t="n">
        <v>0.5066</v>
      </c>
      <c r="D12" s="12" t="s">
        <v>366</v>
      </c>
      <c r="E12" s="13" t="b">
        <f aca="false">TRUE()</f>
        <v>1</v>
      </c>
      <c r="F12" s="12" t="s">
        <v>500</v>
      </c>
      <c r="G12" s="12" t="n">
        <v>8625429</v>
      </c>
      <c r="H12" s="12" t="n">
        <v>151</v>
      </c>
      <c r="I12" s="12" t="n">
        <v>166</v>
      </c>
      <c r="J12" s="12" t="n">
        <v>0.900475</v>
      </c>
      <c r="K12" s="12" t="n">
        <v>0.000581</v>
      </c>
      <c r="L12" s="12" t="s">
        <v>503</v>
      </c>
    </row>
    <row r="13" customFormat="false" ht="15" hidden="false" customHeight="false" outlineLevel="0" collapsed="false">
      <c r="A13" s="12" t="s">
        <v>65</v>
      </c>
      <c r="B13" s="12" t="s">
        <v>502</v>
      </c>
      <c r="C13" s="12" t="n">
        <v>0.2236</v>
      </c>
      <c r="D13" s="12" t="s">
        <v>362</v>
      </c>
      <c r="E13" s="13" t="b">
        <f aca="false">TRUE()</f>
        <v>1</v>
      </c>
      <c r="F13" s="12" t="s">
        <v>500</v>
      </c>
      <c r="G13" s="12" t="n">
        <v>8793643</v>
      </c>
      <c r="H13" s="12" t="n">
        <v>163</v>
      </c>
      <c r="I13" s="12" t="n">
        <v>167</v>
      </c>
      <c r="J13" s="12" t="n">
        <v>0.33934</v>
      </c>
      <c r="K13" s="12" t="n">
        <v>0</v>
      </c>
      <c r="L13" s="12"/>
    </row>
    <row r="14" customFormat="false" ht="15" hidden="false" customHeight="false" outlineLevel="0" collapsed="false">
      <c r="A14" s="12" t="s">
        <v>70</v>
      </c>
      <c r="B14" s="12" t="s">
        <v>502</v>
      </c>
      <c r="C14" s="12" t="n">
        <v>0.2838</v>
      </c>
      <c r="D14" s="12" t="s">
        <v>362</v>
      </c>
      <c r="E14" s="13" t="b">
        <f aca="false">TRUE()</f>
        <v>1</v>
      </c>
      <c r="F14" s="12" t="s">
        <v>500</v>
      </c>
      <c r="G14" s="12" t="n">
        <v>9179931</v>
      </c>
      <c r="H14" s="12" t="n">
        <v>154</v>
      </c>
      <c r="I14" s="12" t="n">
        <v>166</v>
      </c>
      <c r="J14" s="12" t="n">
        <v>0.692417</v>
      </c>
      <c r="K14" s="12" t="n">
        <v>0.000231</v>
      </c>
      <c r="L14" s="12"/>
    </row>
    <row r="15" customFormat="false" ht="15" hidden="false" customHeight="false" outlineLevel="0" collapsed="false">
      <c r="A15" s="12" t="s">
        <v>75</v>
      </c>
      <c r="B15" s="12" t="s">
        <v>502</v>
      </c>
      <c r="C15" s="12" t="n">
        <v>0.01715</v>
      </c>
      <c r="D15" s="12" t="s">
        <v>357</v>
      </c>
      <c r="E15" s="13" t="b">
        <f aca="false">FALSE()</f>
        <v>0</v>
      </c>
      <c r="F15" s="12" t="s">
        <v>500</v>
      </c>
      <c r="G15" s="12" t="n">
        <v>7765971</v>
      </c>
      <c r="H15" s="12" t="n">
        <v>167</v>
      </c>
      <c r="I15" s="12" t="n">
        <v>168</v>
      </c>
      <c r="J15" s="12" t="n">
        <v>0.263251</v>
      </c>
      <c r="K15" s="12" t="n">
        <v>0.000911</v>
      </c>
      <c r="L15" s="12" t="s">
        <v>501</v>
      </c>
    </row>
    <row r="16" customFormat="false" ht="15" hidden="false" customHeight="false" outlineLevel="0" collapsed="false">
      <c r="A16" s="12" t="s">
        <v>80</v>
      </c>
      <c r="B16" s="12" t="s">
        <v>502</v>
      </c>
      <c r="C16" s="12" t="n">
        <v>0.01554</v>
      </c>
      <c r="D16" s="12" t="s">
        <v>357</v>
      </c>
      <c r="E16" s="13" t="b">
        <f aca="false">FALSE()</f>
        <v>0</v>
      </c>
      <c r="F16" s="12" t="s">
        <v>500</v>
      </c>
      <c r="G16" s="12" t="n">
        <v>7731319</v>
      </c>
      <c r="H16" s="12" t="n">
        <v>167</v>
      </c>
      <c r="I16" s="12" t="n">
        <v>167</v>
      </c>
      <c r="J16" s="12" t="n">
        <v>0.244933</v>
      </c>
      <c r="K16" s="12" t="n">
        <v>0.000168</v>
      </c>
      <c r="L16" s="12" t="s">
        <v>501</v>
      </c>
    </row>
    <row r="17" customFormat="false" ht="46.25" hidden="false" customHeight="false" outlineLevel="0" collapsed="false">
      <c r="A17" s="12" t="s">
        <v>85</v>
      </c>
      <c r="B17" s="12" t="s">
        <v>502</v>
      </c>
      <c r="C17" s="12" t="n">
        <v>0.01569</v>
      </c>
      <c r="D17" s="12" t="s">
        <v>357</v>
      </c>
      <c r="E17" s="13" t="b">
        <f aca="false">FALSE()</f>
        <v>0</v>
      </c>
      <c r="F17" s="12" t="s">
        <v>500</v>
      </c>
      <c r="G17" s="12" t="n">
        <v>7676820</v>
      </c>
      <c r="H17" s="12" t="n">
        <v>203</v>
      </c>
      <c r="I17" s="12" t="n">
        <v>171</v>
      </c>
      <c r="J17" s="12" t="n">
        <v>0.180272</v>
      </c>
      <c r="K17" s="12" t="n">
        <v>0.36337</v>
      </c>
      <c r="L17" s="12" t="s">
        <v>504</v>
      </c>
    </row>
    <row r="18" customFormat="false" ht="15" hidden="false" customHeight="false" outlineLevel="0" collapsed="false">
      <c r="A18" s="12" t="s">
        <v>90</v>
      </c>
      <c r="B18" s="12" t="s">
        <v>502</v>
      </c>
      <c r="C18" s="12" t="n">
        <v>0.07153</v>
      </c>
      <c r="D18" s="12" t="s">
        <v>353</v>
      </c>
      <c r="E18" s="13" t="b">
        <f aca="false">TRUE()</f>
        <v>1</v>
      </c>
      <c r="F18" s="12" t="s">
        <v>500</v>
      </c>
      <c r="G18" s="12" t="n">
        <v>7795725</v>
      </c>
      <c r="H18" s="12" t="n">
        <v>169</v>
      </c>
      <c r="I18" s="12" t="n">
        <v>169</v>
      </c>
      <c r="J18" s="12" t="n">
        <v>0.226231</v>
      </c>
      <c r="K18" s="12" t="n">
        <v>0.004836</v>
      </c>
      <c r="L18" s="12"/>
    </row>
    <row r="19" customFormat="false" ht="15" hidden="false" customHeight="false" outlineLevel="0" collapsed="false">
      <c r="A19" s="12" t="s">
        <v>95</v>
      </c>
      <c r="B19" s="12" t="s">
        <v>502</v>
      </c>
      <c r="C19" s="12" t="n">
        <v>0.02337</v>
      </c>
      <c r="D19" s="12" t="s">
        <v>357</v>
      </c>
      <c r="E19" s="13" t="b">
        <f aca="false">FALSE()</f>
        <v>0</v>
      </c>
      <c r="F19" s="12" t="s">
        <v>500</v>
      </c>
      <c r="G19" s="12" t="n">
        <v>8779713</v>
      </c>
      <c r="H19" s="12" t="n">
        <v>160</v>
      </c>
      <c r="I19" s="12" t="n">
        <v>167</v>
      </c>
      <c r="J19" s="12" t="n">
        <v>0.474866</v>
      </c>
      <c r="K19" s="12" t="n">
        <v>0.004185</v>
      </c>
      <c r="L19" s="12" t="s">
        <v>501</v>
      </c>
    </row>
    <row r="20" customFormat="false" ht="15" hidden="false" customHeight="false" outlineLevel="0" collapsed="false">
      <c r="A20" s="12" t="s">
        <v>100</v>
      </c>
      <c r="B20" s="12" t="s">
        <v>502</v>
      </c>
      <c r="C20" s="12" t="n">
        <v>0.02511</v>
      </c>
      <c r="D20" s="12" t="s">
        <v>357</v>
      </c>
      <c r="E20" s="13" t="b">
        <f aca="false">FALSE()</f>
        <v>0</v>
      </c>
      <c r="F20" s="12" t="s">
        <v>500</v>
      </c>
      <c r="G20" s="12" t="n">
        <v>7428221</v>
      </c>
      <c r="H20" s="12" t="n">
        <v>165</v>
      </c>
      <c r="I20" s="12" t="n">
        <v>168</v>
      </c>
      <c r="J20" s="12" t="n">
        <v>0.368414</v>
      </c>
      <c r="K20" s="12" t="n">
        <v>0.002761</v>
      </c>
      <c r="L20" s="12" t="s">
        <v>501</v>
      </c>
    </row>
    <row r="21" customFormat="false" ht="15" hidden="false" customHeight="false" outlineLevel="0" collapsed="false">
      <c r="A21" s="12" t="s">
        <v>105</v>
      </c>
      <c r="B21" s="12" t="s">
        <v>502</v>
      </c>
      <c r="C21" s="12" t="n">
        <v>0.2478</v>
      </c>
      <c r="D21" s="12" t="s">
        <v>362</v>
      </c>
      <c r="E21" s="13" t="b">
        <f aca="false">TRUE()</f>
        <v>1</v>
      </c>
      <c r="F21" s="12" t="s">
        <v>500</v>
      </c>
      <c r="G21" s="12" t="n">
        <v>9270960</v>
      </c>
      <c r="H21" s="12" t="n">
        <v>161</v>
      </c>
      <c r="I21" s="12" t="n">
        <v>167</v>
      </c>
      <c r="J21" s="12" t="n">
        <v>0.440002</v>
      </c>
      <c r="K21" s="12" t="n">
        <v>0.000463</v>
      </c>
      <c r="L21" s="12"/>
    </row>
    <row r="22" customFormat="false" ht="15" hidden="false" customHeight="false" outlineLevel="0" collapsed="false">
      <c r="A22" s="12" t="s">
        <v>110</v>
      </c>
      <c r="B22" s="12" t="s">
        <v>502</v>
      </c>
      <c r="C22" s="12" t="n">
        <v>0.3281</v>
      </c>
      <c r="D22" s="12" t="s">
        <v>362</v>
      </c>
      <c r="E22" s="13" t="b">
        <f aca="false">TRUE()</f>
        <v>1</v>
      </c>
      <c r="F22" s="12" t="s">
        <v>500</v>
      </c>
      <c r="G22" s="12" t="n">
        <v>8134294</v>
      </c>
      <c r="H22" s="12" t="n">
        <v>160</v>
      </c>
      <c r="I22" s="12" t="n">
        <v>167</v>
      </c>
      <c r="J22" s="12" t="n">
        <v>0.514095</v>
      </c>
      <c r="K22" s="12" t="n">
        <v>0.003718</v>
      </c>
      <c r="L22" s="12"/>
    </row>
    <row r="23" customFormat="false" ht="23.85" hidden="false" customHeight="false" outlineLevel="0" collapsed="false">
      <c r="A23" s="12" t="s">
        <v>115</v>
      </c>
      <c r="B23" s="12" t="s">
        <v>505</v>
      </c>
      <c r="C23" s="12" t="n">
        <v>0.03636</v>
      </c>
      <c r="D23" s="12" t="s">
        <v>353</v>
      </c>
      <c r="E23" s="13" t="b">
        <f aca="false">TRUE()</f>
        <v>1</v>
      </c>
      <c r="F23" s="12" t="s">
        <v>506</v>
      </c>
      <c r="G23" s="12" t="n">
        <v>8565101</v>
      </c>
      <c r="H23" s="12" t="n">
        <v>168</v>
      </c>
      <c r="I23" s="12" t="n">
        <v>167</v>
      </c>
      <c r="J23" s="12" t="n">
        <v>0.225371</v>
      </c>
      <c r="K23" s="12" t="n">
        <v>0.000576</v>
      </c>
      <c r="L23" s="12" t="s">
        <v>507</v>
      </c>
    </row>
    <row r="24" customFormat="false" ht="15" hidden="false" customHeight="false" outlineLevel="0" collapsed="false">
      <c r="A24" s="12" t="s">
        <v>118</v>
      </c>
      <c r="B24" s="12" t="s">
        <v>505</v>
      </c>
      <c r="C24" s="12" t="n">
        <v>0.01195</v>
      </c>
      <c r="D24" s="12" t="s">
        <v>357</v>
      </c>
      <c r="E24" s="13" t="b">
        <f aca="false">FALSE()</f>
        <v>0</v>
      </c>
      <c r="F24" s="12" t="s">
        <v>506</v>
      </c>
      <c r="G24" s="12" t="n">
        <v>9575419</v>
      </c>
      <c r="H24" s="12" t="n">
        <v>149</v>
      </c>
      <c r="I24" s="12" t="n">
        <v>165</v>
      </c>
      <c r="J24" s="12" t="n">
        <v>0.794761</v>
      </c>
      <c r="K24" s="12" t="n">
        <v>0.005302</v>
      </c>
      <c r="L24" s="12" t="s">
        <v>501</v>
      </c>
    </row>
    <row r="25" customFormat="false" ht="15" hidden="false" customHeight="false" outlineLevel="0" collapsed="false">
      <c r="A25" s="12" t="s">
        <v>121</v>
      </c>
      <c r="B25" s="12" t="s">
        <v>505</v>
      </c>
      <c r="C25" s="12" t="n">
        <v>0.01944</v>
      </c>
      <c r="D25" s="12" t="s">
        <v>357</v>
      </c>
      <c r="E25" s="13" t="b">
        <f aca="false">FALSE()</f>
        <v>0</v>
      </c>
      <c r="F25" s="12" t="s">
        <v>506</v>
      </c>
      <c r="G25" s="12" t="n">
        <v>8633341</v>
      </c>
      <c r="H25" s="12" t="n">
        <v>160</v>
      </c>
      <c r="I25" s="12" t="n">
        <v>167</v>
      </c>
      <c r="J25" s="12" t="n">
        <v>0.493136</v>
      </c>
      <c r="K25" s="12" t="n">
        <v>0.001191</v>
      </c>
      <c r="L25" s="12" t="s">
        <v>501</v>
      </c>
    </row>
    <row r="26" customFormat="false" ht="15" hidden="false" customHeight="false" outlineLevel="0" collapsed="false">
      <c r="A26" s="12" t="s">
        <v>124</v>
      </c>
      <c r="B26" s="12" t="s">
        <v>505</v>
      </c>
      <c r="C26" s="12" t="n">
        <v>0.04876</v>
      </c>
      <c r="D26" s="12" t="s">
        <v>353</v>
      </c>
      <c r="E26" s="13" t="b">
        <f aca="false">TRUE()</f>
        <v>1</v>
      </c>
      <c r="F26" s="12" t="s">
        <v>506</v>
      </c>
      <c r="G26" s="12" t="n">
        <v>9572110</v>
      </c>
      <c r="H26" s="12" t="n">
        <v>163</v>
      </c>
      <c r="I26" s="12" t="n">
        <v>167</v>
      </c>
      <c r="J26" s="12" t="n">
        <v>0.363365</v>
      </c>
      <c r="K26" s="12" t="n">
        <v>0.000105</v>
      </c>
      <c r="L26" s="12"/>
    </row>
    <row r="27" customFormat="false" ht="15" hidden="false" customHeight="false" outlineLevel="0" collapsed="false">
      <c r="A27" s="12" t="s">
        <v>128</v>
      </c>
      <c r="B27" s="12" t="s">
        <v>505</v>
      </c>
      <c r="C27" s="12" t="n">
        <v>0.06386</v>
      </c>
      <c r="D27" s="12" t="s">
        <v>353</v>
      </c>
      <c r="E27" s="13" t="b">
        <f aca="false">TRUE()</f>
        <v>1</v>
      </c>
      <c r="F27" s="12" t="s">
        <v>506</v>
      </c>
      <c r="G27" s="12" t="n">
        <v>8125681</v>
      </c>
      <c r="H27" s="12" t="n">
        <v>161</v>
      </c>
      <c r="I27" s="12" t="n">
        <v>167</v>
      </c>
      <c r="J27" s="12" t="n">
        <v>0.441362</v>
      </c>
      <c r="K27" s="12" t="n">
        <v>0.005837</v>
      </c>
      <c r="L27" s="12"/>
    </row>
    <row r="28" customFormat="false" ht="15" hidden="false" customHeight="false" outlineLevel="0" collapsed="false">
      <c r="A28" s="12" t="s">
        <v>131</v>
      </c>
      <c r="B28" s="12" t="s">
        <v>505</v>
      </c>
      <c r="C28" s="12" t="n">
        <v>0.6033</v>
      </c>
      <c r="D28" s="12" t="s">
        <v>366</v>
      </c>
      <c r="E28" s="13" t="b">
        <f aca="false">TRUE()</f>
        <v>1</v>
      </c>
      <c r="F28" s="12" t="s">
        <v>506</v>
      </c>
      <c r="G28" s="12" t="n">
        <v>11454302</v>
      </c>
      <c r="H28" s="12" t="n">
        <v>157</v>
      </c>
      <c r="I28" s="12" t="n">
        <v>167</v>
      </c>
      <c r="J28" s="12" t="n">
        <v>0.574589</v>
      </c>
      <c r="K28" s="12" t="n">
        <v>0.006186</v>
      </c>
      <c r="L28" s="12"/>
    </row>
    <row r="29" customFormat="false" ht="15" hidden="false" customHeight="false" outlineLevel="0" collapsed="false">
      <c r="A29" s="12" t="s">
        <v>134</v>
      </c>
      <c r="B29" s="12" t="s">
        <v>505</v>
      </c>
      <c r="C29" s="12" t="n">
        <v>0.00859</v>
      </c>
      <c r="D29" s="12" t="s">
        <v>357</v>
      </c>
      <c r="E29" s="13" t="b">
        <f aca="false">FALSE()</f>
        <v>0</v>
      </c>
      <c r="F29" s="12" t="s">
        <v>506</v>
      </c>
      <c r="G29" s="12" t="n">
        <v>12974137</v>
      </c>
      <c r="H29" s="12" t="n">
        <v>169</v>
      </c>
      <c r="I29" s="12" t="n">
        <v>168</v>
      </c>
      <c r="J29" s="12" t="n">
        <v>0.192418</v>
      </c>
      <c r="K29" s="12" t="n">
        <v>0.000228</v>
      </c>
      <c r="L29" s="12" t="s">
        <v>501</v>
      </c>
    </row>
    <row r="30" customFormat="false" ht="15" hidden="false" customHeight="false" outlineLevel="0" collapsed="false">
      <c r="A30" s="12" t="s">
        <v>137</v>
      </c>
      <c r="B30" s="12" t="s">
        <v>505</v>
      </c>
      <c r="C30" s="12" t="n">
        <v>0.6228</v>
      </c>
      <c r="D30" s="12" t="s">
        <v>366</v>
      </c>
      <c r="E30" s="13" t="b">
        <f aca="false">TRUE()</f>
        <v>1</v>
      </c>
      <c r="F30" s="12" t="s">
        <v>506</v>
      </c>
      <c r="G30" s="12" t="n">
        <v>12935098</v>
      </c>
      <c r="H30" s="12" t="n">
        <v>155</v>
      </c>
      <c r="I30" s="12" t="n">
        <v>166</v>
      </c>
      <c r="J30" s="12" t="n">
        <v>0.697204</v>
      </c>
      <c r="K30" s="12" t="n">
        <v>0.000623</v>
      </c>
      <c r="L30" s="12"/>
    </row>
    <row r="31" customFormat="false" ht="15" hidden="false" customHeight="false" outlineLevel="0" collapsed="false">
      <c r="A31" s="12" t="s">
        <v>140</v>
      </c>
      <c r="B31" s="12" t="s">
        <v>505</v>
      </c>
      <c r="C31" s="12" t="n">
        <v>0.3612</v>
      </c>
      <c r="D31" s="12" t="s">
        <v>362</v>
      </c>
      <c r="E31" s="13" t="b">
        <f aca="false">TRUE()</f>
        <v>1</v>
      </c>
      <c r="F31" s="12" t="s">
        <v>506</v>
      </c>
      <c r="G31" s="12" t="n">
        <v>12532723</v>
      </c>
      <c r="H31" s="12" t="n">
        <v>159</v>
      </c>
      <c r="I31" s="12" t="n">
        <v>166</v>
      </c>
      <c r="J31" s="12" t="n">
        <v>0.524228</v>
      </c>
      <c r="K31" s="12" t="n">
        <v>1.3E-005</v>
      </c>
      <c r="L31" s="12"/>
    </row>
    <row r="32" customFormat="false" ht="15" hidden="false" customHeight="false" outlineLevel="0" collapsed="false">
      <c r="A32" s="12" t="s">
        <v>144</v>
      </c>
      <c r="B32" s="12" t="s">
        <v>505</v>
      </c>
      <c r="C32" s="12" t="n">
        <v>0.01431</v>
      </c>
      <c r="D32" s="12" t="s">
        <v>357</v>
      </c>
      <c r="E32" s="13" t="b">
        <f aca="false">FALSE()</f>
        <v>0</v>
      </c>
      <c r="F32" s="12" t="s">
        <v>506</v>
      </c>
      <c r="G32" s="12" t="n">
        <v>11291672</v>
      </c>
      <c r="H32" s="12" t="n">
        <v>165</v>
      </c>
      <c r="I32" s="12" t="n">
        <v>167</v>
      </c>
      <c r="J32" s="12" t="n">
        <v>0.290047</v>
      </c>
      <c r="K32" s="12" t="n">
        <v>0.000157</v>
      </c>
      <c r="L32" s="12" t="s">
        <v>501</v>
      </c>
    </row>
    <row r="33" customFormat="false" ht="15" hidden="false" customHeight="false" outlineLevel="0" collapsed="false">
      <c r="A33" s="12" t="s">
        <v>147</v>
      </c>
      <c r="B33" s="12" t="s">
        <v>505</v>
      </c>
      <c r="C33" s="12" t="n">
        <v>0.00969</v>
      </c>
      <c r="D33" s="12" t="s">
        <v>357</v>
      </c>
      <c r="E33" s="13" t="b">
        <f aca="false">FALSE()</f>
        <v>0</v>
      </c>
      <c r="F33" s="12" t="s">
        <v>506</v>
      </c>
      <c r="G33" s="12" t="n">
        <v>12904577</v>
      </c>
      <c r="H33" s="12" t="n">
        <v>162</v>
      </c>
      <c r="I33" s="12" t="n">
        <v>167</v>
      </c>
      <c r="J33" s="12" t="n">
        <v>0.45192</v>
      </c>
      <c r="K33" s="12" t="n">
        <v>0.004975</v>
      </c>
      <c r="L33" s="12" t="s">
        <v>501</v>
      </c>
    </row>
    <row r="34" customFormat="false" ht="23.85" hidden="false" customHeight="false" outlineLevel="0" collapsed="false">
      <c r="A34" s="12" t="s">
        <v>150</v>
      </c>
      <c r="B34" s="12" t="s">
        <v>505</v>
      </c>
      <c r="C34" s="12" t="n">
        <v>0.0903</v>
      </c>
      <c r="D34" s="12" t="s">
        <v>353</v>
      </c>
      <c r="E34" s="13" t="b">
        <f aca="false">FALSE()</f>
        <v>0</v>
      </c>
      <c r="F34" s="12" t="s">
        <v>506</v>
      </c>
      <c r="G34" s="12" t="n">
        <v>11740364</v>
      </c>
      <c r="H34" s="12" t="n">
        <v>159</v>
      </c>
      <c r="I34" s="12" t="n">
        <v>166</v>
      </c>
      <c r="J34" s="12" t="n">
        <v>0.541168</v>
      </c>
      <c r="K34" s="12" t="n">
        <v>0.002695</v>
      </c>
      <c r="L34" s="12" t="s">
        <v>508</v>
      </c>
    </row>
    <row r="35" customFormat="false" ht="15" hidden="false" customHeight="false" outlineLevel="0" collapsed="false">
      <c r="A35" s="12" t="s">
        <v>153</v>
      </c>
      <c r="B35" s="12" t="s">
        <v>505</v>
      </c>
      <c r="C35" s="12" t="n">
        <v>0.01993</v>
      </c>
      <c r="D35" s="12" t="s">
        <v>357</v>
      </c>
      <c r="E35" s="13" t="b">
        <f aca="false">FALSE()</f>
        <v>0</v>
      </c>
      <c r="F35" s="12" t="s">
        <v>506</v>
      </c>
      <c r="G35" s="12" t="n">
        <v>11775548</v>
      </c>
      <c r="H35" s="12" t="n">
        <v>166</v>
      </c>
      <c r="I35" s="12" t="n">
        <v>167</v>
      </c>
      <c r="J35" s="12" t="n">
        <v>0.269164</v>
      </c>
      <c r="K35" s="12" t="n">
        <v>0.001033</v>
      </c>
      <c r="L35" s="12" t="s">
        <v>501</v>
      </c>
    </row>
    <row r="38" customFormat="false" ht="23.25" hidden="false" customHeight="true" outlineLevel="0" collapsed="false">
      <c r="A38" s="2" t="s">
        <v>509</v>
      </c>
      <c r="B38" s="2" t="s">
        <v>510</v>
      </c>
      <c r="C38" s="2" t="s">
        <v>511</v>
      </c>
      <c r="D38" s="2" t="s">
        <v>512</v>
      </c>
      <c r="E38" s="2" t="s">
        <v>482</v>
      </c>
      <c r="F38" s="2" t="s">
        <v>513</v>
      </c>
      <c r="G38" s="2" t="s">
        <v>484</v>
      </c>
    </row>
    <row r="39" customFormat="false" ht="15" hidden="false" customHeight="false" outlineLevel="0" collapsed="false">
      <c r="A39" s="3" t="s">
        <v>514</v>
      </c>
      <c r="B39" s="3" t="s">
        <v>515</v>
      </c>
      <c r="C39" s="3" t="n">
        <v>34</v>
      </c>
      <c r="D39" s="3" t="n">
        <v>-0.535834</v>
      </c>
      <c r="E39" s="3" t="n">
        <v>0.001091</v>
      </c>
      <c r="F39" s="3" t="n">
        <v>0.004363</v>
      </c>
      <c r="G39" s="3" t="s">
        <v>516</v>
      </c>
    </row>
    <row r="40" customFormat="false" ht="15" hidden="false" customHeight="false" outlineLevel="0" collapsed="false">
      <c r="A40" s="3" t="s">
        <v>514</v>
      </c>
      <c r="B40" s="3" t="s">
        <v>517</v>
      </c>
      <c r="C40" s="3" t="n">
        <v>33</v>
      </c>
      <c r="D40" s="3" t="n">
        <v>-0.514613</v>
      </c>
      <c r="E40" s="3" t="n">
        <v>0.002184</v>
      </c>
      <c r="F40" s="3" t="n">
        <v>0.008734</v>
      </c>
      <c r="G40" s="3" t="s">
        <v>516</v>
      </c>
    </row>
    <row r="41" customFormat="false" ht="15" hidden="false" customHeight="false" outlineLevel="0" collapsed="false">
      <c r="A41" s="3" t="s">
        <v>518</v>
      </c>
      <c r="B41" s="3" t="s">
        <v>515</v>
      </c>
      <c r="C41" s="3" t="n">
        <v>34</v>
      </c>
      <c r="D41" s="3" t="n">
        <v>-0.482558</v>
      </c>
      <c r="E41" s="3" t="n">
        <v>0.003848</v>
      </c>
      <c r="F41" s="3" t="n">
        <v>0.00513</v>
      </c>
      <c r="G41" s="3" t="s">
        <v>516</v>
      </c>
    </row>
    <row r="42" customFormat="false" ht="15" hidden="false" customHeight="false" outlineLevel="0" collapsed="false">
      <c r="A42" s="3" t="s">
        <v>518</v>
      </c>
      <c r="B42" s="3" t="s">
        <v>517</v>
      </c>
      <c r="C42" s="3" t="n">
        <v>33</v>
      </c>
      <c r="D42" s="3" t="n">
        <v>-0.458695</v>
      </c>
      <c r="E42" s="3" t="n">
        <v>0.007257</v>
      </c>
      <c r="F42" s="3" t="n">
        <v>0.009676</v>
      </c>
      <c r="G42" s="3" t="s">
        <v>516</v>
      </c>
    </row>
    <row r="43" customFormat="false" ht="15" hidden="false" customHeight="false" outlineLevel="0" collapsed="false">
      <c r="A43" s="3" t="s">
        <v>519</v>
      </c>
      <c r="B43" s="3" t="s">
        <v>515</v>
      </c>
      <c r="C43" s="3" t="n">
        <v>34</v>
      </c>
      <c r="D43" s="3" t="n">
        <v>0.501604</v>
      </c>
      <c r="E43" s="3" t="n">
        <v>0.002827</v>
      </c>
      <c r="F43" s="3" t="n">
        <v>0.00513</v>
      </c>
      <c r="G43" s="3" t="s">
        <v>516</v>
      </c>
    </row>
    <row r="44" customFormat="false" ht="15" hidden="false" customHeight="false" outlineLevel="0" collapsed="false">
      <c r="A44" s="3" t="s">
        <v>519</v>
      </c>
      <c r="B44" s="3" t="s">
        <v>517</v>
      </c>
      <c r="C44" s="3" t="n">
        <v>33</v>
      </c>
      <c r="D44" s="3" t="n">
        <v>0.47861</v>
      </c>
      <c r="E44" s="3" t="n">
        <v>0.005299</v>
      </c>
      <c r="F44" s="3" t="n">
        <v>0.009676</v>
      </c>
      <c r="G44" s="3" t="s">
        <v>516</v>
      </c>
    </row>
    <row r="45" customFormat="false" ht="15" hidden="false" customHeight="false" outlineLevel="0" collapsed="false">
      <c r="A45" s="3" t="s">
        <v>520</v>
      </c>
      <c r="B45" s="3" t="s">
        <v>515</v>
      </c>
      <c r="C45" s="3" t="n">
        <v>34</v>
      </c>
      <c r="D45" s="3" t="n">
        <v>-0.206818</v>
      </c>
      <c r="E45" s="3" t="n">
        <v>0.240563</v>
      </c>
      <c r="F45" s="3" t="n">
        <v>0.240563</v>
      </c>
      <c r="G45" s="3" t="s">
        <v>489</v>
      </c>
    </row>
    <row r="46" customFormat="false" ht="15" hidden="false" customHeight="false" outlineLevel="0" collapsed="false">
      <c r="A46" s="3" t="s">
        <v>520</v>
      </c>
      <c r="B46" s="3" t="s">
        <v>517</v>
      </c>
      <c r="C46" s="3" t="n">
        <v>33</v>
      </c>
      <c r="D46" s="3" t="n">
        <v>-0.159055</v>
      </c>
      <c r="E46" s="3" t="n">
        <v>0.376631</v>
      </c>
      <c r="F46" s="3" t="n">
        <v>0.376631</v>
      </c>
      <c r="G46" s="3" t="s">
        <v>489</v>
      </c>
    </row>
    <row r="48" customFormat="false" ht="23.25" hidden="false" customHeight="true" outlineLevel="0" collapsed="false">
      <c r="A48" s="2" t="s">
        <v>509</v>
      </c>
      <c r="B48" s="2" t="s">
        <v>510</v>
      </c>
      <c r="C48" s="2" t="s">
        <v>521</v>
      </c>
      <c r="D48" s="2" t="s">
        <v>480</v>
      </c>
      <c r="E48" s="2" t="s">
        <v>522</v>
      </c>
      <c r="F48" s="2" t="s">
        <v>523</v>
      </c>
      <c r="G48" s="2" t="s">
        <v>524</v>
      </c>
      <c r="H48" s="2" t="s">
        <v>525</v>
      </c>
      <c r="I48" s="2" t="s">
        <v>482</v>
      </c>
      <c r="J48" s="2" t="s">
        <v>513</v>
      </c>
      <c r="K48" s="2" t="s">
        <v>484</v>
      </c>
    </row>
    <row r="49" customFormat="false" ht="15" hidden="false" customHeight="false" outlineLevel="0" collapsed="false">
      <c r="A49" s="3" t="s">
        <v>514</v>
      </c>
      <c r="B49" s="3" t="s">
        <v>526</v>
      </c>
      <c r="C49" s="3" t="s">
        <v>527</v>
      </c>
      <c r="D49" s="3" t="s">
        <v>528</v>
      </c>
      <c r="E49" s="3"/>
      <c r="F49" s="3"/>
      <c r="G49" s="3" t="n">
        <v>8.22863</v>
      </c>
      <c r="H49" s="3" t="n">
        <v>2</v>
      </c>
      <c r="I49" s="3" t="n">
        <v>0.016337</v>
      </c>
      <c r="J49" s="3" t="n">
        <v>0.03746</v>
      </c>
      <c r="K49" s="3" t="s">
        <v>516</v>
      </c>
    </row>
    <row r="50" customFormat="false" ht="15" hidden="false" customHeight="false" outlineLevel="0" collapsed="false">
      <c r="A50" s="3" t="s">
        <v>514</v>
      </c>
      <c r="B50" s="3" t="s">
        <v>526</v>
      </c>
      <c r="C50" s="3" t="s">
        <v>529</v>
      </c>
      <c r="D50" s="3" t="s">
        <v>530</v>
      </c>
      <c r="E50" s="3" t="n">
        <v>13</v>
      </c>
      <c r="F50" s="3" t="n">
        <v>10</v>
      </c>
      <c r="G50" s="3"/>
      <c r="H50" s="3"/>
      <c r="I50" s="3" t="n">
        <v>0.333655</v>
      </c>
      <c r="J50" s="3" t="n">
        <v>0.333655</v>
      </c>
      <c r="K50" s="3" t="s">
        <v>489</v>
      </c>
    </row>
    <row r="51" customFormat="false" ht="15" hidden="false" customHeight="false" outlineLevel="0" collapsed="false">
      <c r="A51" s="3" t="s">
        <v>514</v>
      </c>
      <c r="B51" s="3" t="s">
        <v>526</v>
      </c>
      <c r="C51" s="3" t="s">
        <v>529</v>
      </c>
      <c r="D51" s="3" t="s">
        <v>531</v>
      </c>
      <c r="E51" s="3" t="n">
        <v>13</v>
      </c>
      <c r="F51" s="3" t="n">
        <v>11</v>
      </c>
      <c r="G51" s="3"/>
      <c r="H51" s="3"/>
      <c r="I51" s="3" t="n">
        <v>0.009692</v>
      </c>
      <c r="J51" s="3" t="n">
        <v>0.029076</v>
      </c>
      <c r="K51" s="3" t="s">
        <v>516</v>
      </c>
    </row>
    <row r="52" customFormat="false" ht="15" hidden="false" customHeight="false" outlineLevel="0" collapsed="false">
      <c r="A52" s="3" t="s">
        <v>514</v>
      </c>
      <c r="B52" s="3" t="s">
        <v>526</v>
      </c>
      <c r="C52" s="3" t="s">
        <v>529</v>
      </c>
      <c r="D52" s="3" t="s">
        <v>532</v>
      </c>
      <c r="E52" s="3" t="n">
        <v>10</v>
      </c>
      <c r="F52" s="3" t="n">
        <v>11</v>
      </c>
      <c r="G52" s="3"/>
      <c r="H52" s="3"/>
      <c r="I52" s="3" t="n">
        <v>0.03983</v>
      </c>
      <c r="J52" s="3" t="n">
        <v>0.059745</v>
      </c>
      <c r="K52" s="3" t="s">
        <v>533</v>
      </c>
    </row>
    <row r="53" customFormat="false" ht="15" hidden="false" customHeight="false" outlineLevel="0" collapsed="false">
      <c r="A53" s="3" t="s">
        <v>514</v>
      </c>
      <c r="B53" s="3" t="s">
        <v>534</v>
      </c>
      <c r="C53" s="3" t="s">
        <v>527</v>
      </c>
      <c r="D53" s="3" t="s">
        <v>528</v>
      </c>
      <c r="E53" s="3"/>
      <c r="F53" s="3"/>
      <c r="G53" s="3" t="n">
        <v>7.336724</v>
      </c>
      <c r="H53" s="3" t="n">
        <v>2</v>
      </c>
      <c r="I53" s="3" t="n">
        <v>0.025518</v>
      </c>
      <c r="J53" s="3" t="n">
        <v>0.054778</v>
      </c>
      <c r="K53" s="3" t="s">
        <v>489</v>
      </c>
    </row>
    <row r="54" customFormat="false" ht="15" hidden="false" customHeight="false" outlineLevel="0" collapsed="false">
      <c r="A54" s="3" t="s">
        <v>514</v>
      </c>
      <c r="B54" s="3" t="s">
        <v>534</v>
      </c>
      <c r="C54" s="3" t="s">
        <v>529</v>
      </c>
      <c r="D54" s="3" t="s">
        <v>530</v>
      </c>
      <c r="E54" s="3" t="n">
        <v>12</v>
      </c>
      <c r="F54" s="3" t="n">
        <v>10</v>
      </c>
      <c r="G54" s="3"/>
      <c r="H54" s="3"/>
      <c r="I54" s="3" t="n">
        <v>0.485872</v>
      </c>
      <c r="J54" s="3" t="n">
        <v>0.485872</v>
      </c>
      <c r="K54" s="3" t="s">
        <v>489</v>
      </c>
    </row>
    <row r="55" customFormat="false" ht="15" hidden="false" customHeight="false" outlineLevel="0" collapsed="false">
      <c r="A55" s="3" t="s">
        <v>514</v>
      </c>
      <c r="B55" s="3" t="s">
        <v>534</v>
      </c>
      <c r="C55" s="3" t="s">
        <v>529</v>
      </c>
      <c r="D55" s="3" t="s">
        <v>531</v>
      </c>
      <c r="E55" s="3" t="n">
        <v>12</v>
      </c>
      <c r="F55" s="3" t="n">
        <v>11</v>
      </c>
      <c r="G55" s="3"/>
      <c r="H55" s="3"/>
      <c r="I55" s="3" t="n">
        <v>0.015986</v>
      </c>
      <c r="J55" s="3" t="n">
        <v>0.047959</v>
      </c>
      <c r="K55" s="3" t="s">
        <v>516</v>
      </c>
    </row>
    <row r="56" customFormat="false" ht="15" hidden="false" customHeight="false" outlineLevel="0" collapsed="false">
      <c r="A56" s="3" t="s">
        <v>514</v>
      </c>
      <c r="B56" s="3" t="s">
        <v>534</v>
      </c>
      <c r="C56" s="3" t="s">
        <v>529</v>
      </c>
      <c r="D56" s="3" t="s">
        <v>532</v>
      </c>
      <c r="E56" s="3" t="n">
        <v>10</v>
      </c>
      <c r="F56" s="3" t="n">
        <v>11</v>
      </c>
      <c r="G56" s="3"/>
      <c r="H56" s="3"/>
      <c r="I56" s="3" t="n">
        <v>0.03983</v>
      </c>
      <c r="J56" s="3" t="n">
        <v>0.059745</v>
      </c>
      <c r="K56" s="3" t="s">
        <v>533</v>
      </c>
    </row>
    <row r="57" customFormat="false" ht="15" hidden="false" customHeight="false" outlineLevel="0" collapsed="false">
      <c r="A57" s="3" t="s">
        <v>518</v>
      </c>
      <c r="B57" s="3" t="s">
        <v>526</v>
      </c>
      <c r="C57" s="3" t="s">
        <v>527</v>
      </c>
      <c r="D57" s="3" t="s">
        <v>528</v>
      </c>
      <c r="E57" s="3"/>
      <c r="F57" s="3"/>
      <c r="G57" s="3" t="n">
        <v>7.955284</v>
      </c>
      <c r="H57" s="3" t="n">
        <v>2</v>
      </c>
      <c r="I57" s="3" t="n">
        <v>0.01873</v>
      </c>
      <c r="J57" s="3" t="n">
        <v>0.03746</v>
      </c>
      <c r="K57" s="3" t="s">
        <v>516</v>
      </c>
    </row>
    <row r="58" customFormat="false" ht="15" hidden="false" customHeight="false" outlineLevel="0" collapsed="false">
      <c r="A58" s="3" t="s">
        <v>518</v>
      </c>
      <c r="B58" s="3" t="s">
        <v>526</v>
      </c>
      <c r="C58" s="3" t="s">
        <v>529</v>
      </c>
      <c r="D58" s="3" t="s">
        <v>530</v>
      </c>
      <c r="E58" s="3" t="n">
        <v>13</v>
      </c>
      <c r="F58" s="3" t="n">
        <v>10</v>
      </c>
      <c r="G58" s="3"/>
      <c r="H58" s="3"/>
      <c r="I58" s="3" t="n">
        <v>0.121781</v>
      </c>
      <c r="J58" s="3" t="n">
        <v>0.182671</v>
      </c>
      <c r="K58" s="3" t="s">
        <v>489</v>
      </c>
    </row>
    <row r="59" customFormat="false" ht="15" hidden="false" customHeight="false" outlineLevel="0" collapsed="false">
      <c r="A59" s="3" t="s">
        <v>518</v>
      </c>
      <c r="B59" s="3" t="s">
        <v>526</v>
      </c>
      <c r="C59" s="3" t="s">
        <v>529</v>
      </c>
      <c r="D59" s="3" t="s">
        <v>531</v>
      </c>
      <c r="E59" s="3" t="n">
        <v>13</v>
      </c>
      <c r="F59" s="3" t="n">
        <v>11</v>
      </c>
      <c r="G59" s="3"/>
      <c r="H59" s="3"/>
      <c r="I59" s="3" t="n">
        <v>0.007786</v>
      </c>
      <c r="J59" s="3" t="n">
        <v>0.023357</v>
      </c>
      <c r="K59" s="3" t="s">
        <v>516</v>
      </c>
    </row>
    <row r="60" customFormat="false" ht="15" hidden="false" customHeight="false" outlineLevel="0" collapsed="false">
      <c r="A60" s="3" t="s">
        <v>518</v>
      </c>
      <c r="B60" s="3" t="s">
        <v>526</v>
      </c>
      <c r="C60" s="3" t="s">
        <v>529</v>
      </c>
      <c r="D60" s="3" t="s">
        <v>532</v>
      </c>
      <c r="E60" s="3" t="n">
        <v>10</v>
      </c>
      <c r="F60" s="3" t="n">
        <v>11</v>
      </c>
      <c r="G60" s="3"/>
      <c r="H60" s="3"/>
      <c r="I60" s="3" t="n">
        <v>0.216283</v>
      </c>
      <c r="J60" s="3" t="n">
        <v>0.216283</v>
      </c>
      <c r="K60" s="3" t="s">
        <v>489</v>
      </c>
    </row>
    <row r="61" customFormat="false" ht="15" hidden="false" customHeight="false" outlineLevel="0" collapsed="false">
      <c r="A61" s="3" t="s">
        <v>518</v>
      </c>
      <c r="B61" s="3" t="s">
        <v>534</v>
      </c>
      <c r="C61" s="3" t="s">
        <v>527</v>
      </c>
      <c r="D61" s="3" t="s">
        <v>528</v>
      </c>
      <c r="E61" s="3"/>
      <c r="F61" s="3"/>
      <c r="G61" s="3" t="n">
        <v>6.777214</v>
      </c>
      <c r="H61" s="3" t="n">
        <v>2</v>
      </c>
      <c r="I61" s="3" t="n">
        <v>0.033756</v>
      </c>
      <c r="J61" s="3" t="n">
        <v>0.054778</v>
      </c>
      <c r="K61" s="3" t="s">
        <v>489</v>
      </c>
    </row>
    <row r="62" customFormat="false" ht="15" hidden="false" customHeight="false" outlineLevel="0" collapsed="false">
      <c r="A62" s="3" t="s">
        <v>518</v>
      </c>
      <c r="B62" s="3" t="s">
        <v>534</v>
      </c>
      <c r="C62" s="3" t="s">
        <v>529</v>
      </c>
      <c r="D62" s="3" t="s">
        <v>530</v>
      </c>
      <c r="E62" s="3" t="n">
        <v>12</v>
      </c>
      <c r="F62" s="3" t="n">
        <v>10</v>
      </c>
      <c r="G62" s="3"/>
      <c r="H62" s="3"/>
      <c r="I62" s="3" t="n">
        <v>0.193227</v>
      </c>
      <c r="J62" s="3" t="n">
        <v>0.216283</v>
      </c>
      <c r="K62" s="3" t="s">
        <v>489</v>
      </c>
    </row>
    <row r="63" customFormat="false" ht="15" hidden="false" customHeight="false" outlineLevel="0" collapsed="false">
      <c r="A63" s="3" t="s">
        <v>518</v>
      </c>
      <c r="B63" s="3" t="s">
        <v>534</v>
      </c>
      <c r="C63" s="3" t="s">
        <v>529</v>
      </c>
      <c r="D63" s="3" t="s">
        <v>531</v>
      </c>
      <c r="E63" s="3" t="n">
        <v>12</v>
      </c>
      <c r="F63" s="3" t="n">
        <v>11</v>
      </c>
      <c r="G63" s="3"/>
      <c r="H63" s="3"/>
      <c r="I63" s="3" t="n">
        <v>0.012779</v>
      </c>
      <c r="J63" s="3" t="n">
        <v>0.038337</v>
      </c>
      <c r="K63" s="3" t="s">
        <v>516</v>
      </c>
    </row>
    <row r="64" customFormat="false" ht="15" hidden="false" customHeight="false" outlineLevel="0" collapsed="false">
      <c r="A64" s="3" t="s">
        <v>518</v>
      </c>
      <c r="B64" s="3" t="s">
        <v>534</v>
      </c>
      <c r="C64" s="3" t="s">
        <v>529</v>
      </c>
      <c r="D64" s="3" t="s">
        <v>532</v>
      </c>
      <c r="E64" s="3" t="n">
        <v>10</v>
      </c>
      <c r="F64" s="3" t="n">
        <v>11</v>
      </c>
      <c r="G64" s="3"/>
      <c r="H64" s="3"/>
      <c r="I64" s="3" t="n">
        <v>0.216283</v>
      </c>
      <c r="J64" s="3" t="n">
        <v>0.216283</v>
      </c>
      <c r="K64" s="3" t="s">
        <v>489</v>
      </c>
    </row>
    <row r="65" customFormat="false" ht="15" hidden="false" customHeight="false" outlineLevel="0" collapsed="false">
      <c r="A65" s="3" t="s">
        <v>519</v>
      </c>
      <c r="B65" s="3" t="s">
        <v>526</v>
      </c>
      <c r="C65" s="3" t="s">
        <v>527</v>
      </c>
      <c r="D65" s="3" t="s">
        <v>528</v>
      </c>
      <c r="E65" s="3"/>
      <c r="F65" s="3"/>
      <c r="G65" s="3" t="n">
        <v>7.109476</v>
      </c>
      <c r="H65" s="3" t="n">
        <v>2</v>
      </c>
      <c r="I65" s="3" t="n">
        <v>0.028589</v>
      </c>
      <c r="J65" s="3" t="n">
        <v>0.038118</v>
      </c>
      <c r="K65" s="3" t="s">
        <v>516</v>
      </c>
    </row>
    <row r="66" customFormat="false" ht="15" hidden="false" customHeight="false" outlineLevel="0" collapsed="false">
      <c r="A66" s="3" t="s">
        <v>519</v>
      </c>
      <c r="B66" s="3" t="s">
        <v>526</v>
      </c>
      <c r="C66" s="3" t="s">
        <v>529</v>
      </c>
      <c r="D66" s="3" t="s">
        <v>530</v>
      </c>
      <c r="E66" s="3" t="n">
        <v>13</v>
      </c>
      <c r="F66" s="3" t="n">
        <v>10</v>
      </c>
      <c r="G66" s="3"/>
      <c r="H66" s="3"/>
      <c r="I66" s="3" t="n">
        <v>0.648162</v>
      </c>
      <c r="J66" s="3" t="n">
        <v>0.648162</v>
      </c>
      <c r="K66" s="3" t="s">
        <v>489</v>
      </c>
    </row>
    <row r="67" customFormat="false" ht="15" hidden="false" customHeight="false" outlineLevel="0" collapsed="false">
      <c r="A67" s="3" t="s">
        <v>519</v>
      </c>
      <c r="B67" s="3" t="s">
        <v>526</v>
      </c>
      <c r="C67" s="3" t="s">
        <v>529</v>
      </c>
      <c r="D67" s="3" t="s">
        <v>531</v>
      </c>
      <c r="E67" s="3" t="n">
        <v>13</v>
      </c>
      <c r="F67" s="3" t="n">
        <v>11</v>
      </c>
      <c r="G67" s="3"/>
      <c r="H67" s="3"/>
      <c r="I67" s="3" t="n">
        <v>0.012879</v>
      </c>
      <c r="J67" s="3" t="n">
        <v>0.038637</v>
      </c>
      <c r="K67" s="3" t="s">
        <v>516</v>
      </c>
    </row>
    <row r="68" customFormat="false" ht="15" hidden="false" customHeight="false" outlineLevel="0" collapsed="false">
      <c r="A68" s="3" t="s">
        <v>519</v>
      </c>
      <c r="B68" s="3" t="s">
        <v>526</v>
      </c>
      <c r="C68" s="3" t="s">
        <v>529</v>
      </c>
      <c r="D68" s="3" t="s">
        <v>532</v>
      </c>
      <c r="E68" s="3" t="n">
        <v>10</v>
      </c>
      <c r="F68" s="3" t="n">
        <v>11</v>
      </c>
      <c r="G68" s="3"/>
      <c r="H68" s="3"/>
      <c r="I68" s="3" t="n">
        <v>0.042964</v>
      </c>
      <c r="J68" s="3" t="n">
        <v>0.064446</v>
      </c>
      <c r="K68" s="3" t="s">
        <v>533</v>
      </c>
    </row>
    <row r="69" customFormat="false" ht="15" hidden="false" customHeight="false" outlineLevel="0" collapsed="false">
      <c r="A69" s="3" t="s">
        <v>519</v>
      </c>
      <c r="B69" s="3" t="s">
        <v>534</v>
      </c>
      <c r="C69" s="3" t="s">
        <v>527</v>
      </c>
      <c r="D69" s="3" t="s">
        <v>528</v>
      </c>
      <c r="E69" s="3"/>
      <c r="F69" s="3"/>
      <c r="G69" s="3" t="n">
        <v>6.384314</v>
      </c>
      <c r="H69" s="3" t="n">
        <v>2</v>
      </c>
      <c r="I69" s="3" t="n">
        <v>0.041083</v>
      </c>
      <c r="J69" s="3" t="n">
        <v>0.054778</v>
      </c>
      <c r="K69" s="3" t="s">
        <v>489</v>
      </c>
    </row>
    <row r="70" customFormat="false" ht="15" hidden="false" customHeight="false" outlineLevel="0" collapsed="false">
      <c r="A70" s="3" t="s">
        <v>519</v>
      </c>
      <c r="B70" s="3" t="s">
        <v>534</v>
      </c>
      <c r="C70" s="3" t="s">
        <v>529</v>
      </c>
      <c r="D70" s="3" t="s">
        <v>530</v>
      </c>
      <c r="E70" s="3" t="n">
        <v>12</v>
      </c>
      <c r="F70" s="3" t="n">
        <v>10</v>
      </c>
      <c r="G70" s="3"/>
      <c r="H70" s="3"/>
      <c r="I70" s="3" t="n">
        <v>0.87176</v>
      </c>
      <c r="J70" s="3" t="n">
        <v>0.87176</v>
      </c>
      <c r="K70" s="3" t="s">
        <v>489</v>
      </c>
    </row>
    <row r="71" customFormat="false" ht="15" hidden="false" customHeight="false" outlineLevel="0" collapsed="false">
      <c r="A71" s="3" t="s">
        <v>519</v>
      </c>
      <c r="B71" s="3" t="s">
        <v>534</v>
      </c>
      <c r="C71" s="3" t="s">
        <v>529</v>
      </c>
      <c r="D71" s="3" t="s">
        <v>531</v>
      </c>
      <c r="E71" s="3" t="n">
        <v>12</v>
      </c>
      <c r="F71" s="3" t="n">
        <v>11</v>
      </c>
      <c r="G71" s="3"/>
      <c r="H71" s="3"/>
      <c r="I71" s="3" t="n">
        <v>0.0225</v>
      </c>
      <c r="J71" s="3" t="n">
        <v>0.064446</v>
      </c>
      <c r="K71" s="3" t="s">
        <v>489</v>
      </c>
    </row>
    <row r="72" customFormat="false" ht="15" hidden="false" customHeight="false" outlineLevel="0" collapsed="false">
      <c r="A72" s="3" t="s">
        <v>519</v>
      </c>
      <c r="B72" s="3" t="s">
        <v>534</v>
      </c>
      <c r="C72" s="3" t="s">
        <v>529</v>
      </c>
      <c r="D72" s="3" t="s">
        <v>532</v>
      </c>
      <c r="E72" s="3" t="n">
        <v>10</v>
      </c>
      <c r="F72" s="3" t="n">
        <v>11</v>
      </c>
      <c r="G72" s="3"/>
      <c r="H72" s="3"/>
      <c r="I72" s="3" t="n">
        <v>0.042964</v>
      </c>
      <c r="J72" s="3" t="n">
        <v>0.064446</v>
      </c>
      <c r="K72" s="3" t="s">
        <v>533</v>
      </c>
    </row>
    <row r="73" customFormat="false" ht="15" hidden="false" customHeight="false" outlineLevel="0" collapsed="false">
      <c r="A73" s="3" t="s">
        <v>520</v>
      </c>
      <c r="B73" s="3" t="s">
        <v>526</v>
      </c>
      <c r="C73" s="3" t="s">
        <v>527</v>
      </c>
      <c r="D73" s="3" t="s">
        <v>528</v>
      </c>
      <c r="E73" s="3"/>
      <c r="F73" s="3"/>
      <c r="G73" s="3" t="n">
        <v>3.190565</v>
      </c>
      <c r="H73" s="3" t="n">
        <v>2</v>
      </c>
      <c r="I73" s="3" t="n">
        <v>0.202851</v>
      </c>
      <c r="J73" s="3" t="n">
        <v>0.202851</v>
      </c>
      <c r="K73" s="3" t="s">
        <v>489</v>
      </c>
    </row>
    <row r="74" customFormat="false" ht="15" hidden="false" customHeight="false" outlineLevel="0" collapsed="false">
      <c r="A74" s="3" t="s">
        <v>520</v>
      </c>
      <c r="B74" s="3" t="s">
        <v>526</v>
      </c>
      <c r="C74" s="3" t="s">
        <v>529</v>
      </c>
      <c r="D74" s="3" t="s">
        <v>530</v>
      </c>
      <c r="E74" s="3" t="n">
        <v>13</v>
      </c>
      <c r="F74" s="3" t="n">
        <v>10</v>
      </c>
      <c r="G74" s="3"/>
      <c r="H74" s="3"/>
      <c r="I74" s="3" t="n">
        <v>0.25078</v>
      </c>
      <c r="J74" s="3" t="n">
        <v>0.37617</v>
      </c>
      <c r="K74" s="3" t="s">
        <v>489</v>
      </c>
    </row>
    <row r="75" customFormat="false" ht="15" hidden="false" customHeight="false" outlineLevel="0" collapsed="false">
      <c r="A75" s="3" t="s">
        <v>520</v>
      </c>
      <c r="B75" s="3" t="s">
        <v>526</v>
      </c>
      <c r="C75" s="3" t="s">
        <v>529</v>
      </c>
      <c r="D75" s="3" t="s">
        <v>531</v>
      </c>
      <c r="E75" s="3" t="n">
        <v>13</v>
      </c>
      <c r="F75" s="3" t="n">
        <v>11</v>
      </c>
      <c r="G75" s="3"/>
      <c r="H75" s="3"/>
      <c r="I75" s="3" t="n">
        <v>0.081928</v>
      </c>
      <c r="J75" s="3" t="n">
        <v>0.245783</v>
      </c>
      <c r="K75" s="3" t="s">
        <v>489</v>
      </c>
    </row>
    <row r="76" customFormat="false" ht="15" hidden="false" customHeight="false" outlineLevel="0" collapsed="false">
      <c r="A76" s="3" t="s">
        <v>520</v>
      </c>
      <c r="B76" s="3" t="s">
        <v>526</v>
      </c>
      <c r="C76" s="3" t="s">
        <v>529</v>
      </c>
      <c r="D76" s="3" t="s">
        <v>532</v>
      </c>
      <c r="E76" s="3" t="n">
        <v>10</v>
      </c>
      <c r="F76" s="3" t="n">
        <v>11</v>
      </c>
      <c r="G76" s="3"/>
      <c r="H76" s="3"/>
      <c r="I76" s="3" t="n">
        <v>0.886714</v>
      </c>
      <c r="J76" s="3" t="n">
        <v>0.886714</v>
      </c>
      <c r="K76" s="3" t="s">
        <v>489</v>
      </c>
    </row>
    <row r="77" customFormat="false" ht="15" hidden="false" customHeight="false" outlineLevel="0" collapsed="false">
      <c r="A77" s="3" t="s">
        <v>520</v>
      </c>
      <c r="B77" s="3" t="s">
        <v>534</v>
      </c>
      <c r="C77" s="3" t="s">
        <v>527</v>
      </c>
      <c r="D77" s="3" t="s">
        <v>528</v>
      </c>
      <c r="E77" s="3"/>
      <c r="F77" s="3"/>
      <c r="G77" s="3" t="n">
        <v>2.245487</v>
      </c>
      <c r="H77" s="3" t="n">
        <v>2</v>
      </c>
      <c r="I77" s="3" t="n">
        <v>0.325386</v>
      </c>
      <c r="J77" s="3" t="n">
        <v>0.325386</v>
      </c>
      <c r="K77" s="3" t="s">
        <v>489</v>
      </c>
    </row>
    <row r="78" customFormat="false" ht="15" hidden="false" customHeight="false" outlineLevel="0" collapsed="false">
      <c r="A78" s="3" t="s">
        <v>520</v>
      </c>
      <c r="B78" s="3" t="s">
        <v>534</v>
      </c>
      <c r="C78" s="3" t="s">
        <v>529</v>
      </c>
      <c r="D78" s="3" t="s">
        <v>530</v>
      </c>
      <c r="E78" s="3" t="n">
        <v>12</v>
      </c>
      <c r="F78" s="3" t="n">
        <v>10</v>
      </c>
      <c r="G78" s="3"/>
      <c r="H78" s="3"/>
      <c r="I78" s="3" t="n">
        <v>0.372838</v>
      </c>
      <c r="J78" s="3" t="n">
        <v>0.559256</v>
      </c>
      <c r="K78" s="3" t="s">
        <v>489</v>
      </c>
    </row>
    <row r="79" customFormat="false" ht="15" hidden="false" customHeight="false" outlineLevel="0" collapsed="false">
      <c r="A79" s="3" t="s">
        <v>520</v>
      </c>
      <c r="B79" s="3" t="s">
        <v>534</v>
      </c>
      <c r="C79" s="3" t="s">
        <v>529</v>
      </c>
      <c r="D79" s="3" t="s">
        <v>531</v>
      </c>
      <c r="E79" s="3" t="n">
        <v>12</v>
      </c>
      <c r="F79" s="3" t="n">
        <v>11</v>
      </c>
      <c r="G79" s="3"/>
      <c r="H79" s="3"/>
      <c r="I79" s="3" t="n">
        <v>0.131206</v>
      </c>
      <c r="J79" s="3" t="n">
        <v>0.393618</v>
      </c>
      <c r="K79" s="3" t="s">
        <v>489</v>
      </c>
    </row>
    <row r="80" customFormat="false" ht="15" hidden="false" customHeight="false" outlineLevel="0" collapsed="false">
      <c r="A80" s="3" t="s">
        <v>520</v>
      </c>
      <c r="B80" s="3" t="s">
        <v>534</v>
      </c>
      <c r="C80" s="3" t="s">
        <v>529</v>
      </c>
      <c r="D80" s="3" t="s">
        <v>532</v>
      </c>
      <c r="E80" s="3" t="n">
        <v>10</v>
      </c>
      <c r="F80" s="3" t="n">
        <v>11</v>
      </c>
      <c r="G80" s="3"/>
      <c r="H80" s="3"/>
      <c r="I80" s="3" t="n">
        <v>0.886714</v>
      </c>
      <c r="J80" s="3" t="n">
        <v>0.886714</v>
      </c>
      <c r="K80" s="3" t="s">
        <v>489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2026-07-31T15:09:58Z</dcterms:created>
  <dc:creator>openpyxl</dc:creator>
  <dc:description/>
  <dc:language>en-GB</dc:language>
  <cp:lastModifiedBy/>
  <dcterms:modified xsi:type="dcterms:W3CDTF">2026-08-06T20:09:21Z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